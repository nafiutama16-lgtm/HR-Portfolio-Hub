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Nafi\Documents\"/>
    </mc:Choice>
  </mc:AlternateContent>
  <xr:revisionPtr revIDLastSave="0" documentId="8_{268BAED9-070A-4899-9B05-2E417F07D0CD}" xr6:coauthVersionLast="47" xr6:coauthVersionMax="47" xr10:uidLastSave="{00000000-0000-0000-0000-000000000000}"/>
  <bookViews>
    <workbookView xWindow="-120" yWindow="-120" windowWidth="20730" windowHeight="11160" activeTab="3" xr2:uid="{35A38290-9EE1-4816-9727-EAB980F65B6E}"/>
  </bookViews>
  <sheets>
    <sheet name="Data Recuitment" sheetId="1" r:id="rId1"/>
    <sheet name="Referensi" sheetId="2" r:id="rId2"/>
    <sheet name="pivot" sheetId="5" state="hidden" r:id="rId3"/>
    <sheet name="Dasbooard" sheetId="6" r:id="rId4"/>
    <sheet name="Tentang Dashboard" sheetId="7" r:id="rId5"/>
  </sheets>
  <definedNames>
    <definedName name="Slicer_Departemen">#N/A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1" i="1" l="1"/>
  <c r="N20" i="1"/>
  <c r="N19" i="1"/>
  <c r="N18" i="1"/>
  <c r="N17" i="1"/>
  <c r="N16" i="1"/>
  <c r="N15" i="1"/>
  <c r="N14" i="1"/>
  <c r="N13" i="1"/>
  <c r="N12" i="1"/>
  <c r="N11" i="1"/>
  <c r="N10" i="1"/>
  <c r="N9" i="1"/>
  <c r="N8" i="1"/>
  <c r="N7" i="1"/>
  <c r="N6" i="1"/>
  <c r="N5" i="1"/>
  <c r="N4" i="1"/>
  <c r="N3" i="1"/>
  <c r="N2" i="1"/>
  <c r="P5" i="6"/>
  <c r="P6" i="6"/>
  <c r="P3" i="6"/>
  <c r="P4" i="6"/>
</calcChain>
</file>

<file path=xl/sharedStrings.xml><?xml version="1.0" encoding="utf-8"?>
<sst xmlns="http://schemas.openxmlformats.org/spreadsheetml/2006/main" count="236" uniqueCount="96">
  <si>
    <t>ID Kandidat</t>
  </si>
  <si>
    <t>Tanggal Masuk</t>
  </si>
  <si>
    <t>Nama Kandidat</t>
  </si>
  <si>
    <t>Posisi</t>
  </si>
  <si>
    <t>Departemen</t>
  </si>
  <si>
    <t>Sumber</t>
  </si>
  <si>
    <t>Posisi Dilamar</t>
  </si>
  <si>
    <t>Sumber Lamaran</t>
  </si>
  <si>
    <t>PIC HR</t>
  </si>
  <si>
    <t>Status</t>
  </si>
  <si>
    <t>K001</t>
  </si>
  <si>
    <t>K002</t>
  </si>
  <si>
    <t>K003</t>
  </si>
  <si>
    <t>K004</t>
  </si>
  <si>
    <t>K005</t>
  </si>
  <si>
    <t>K006</t>
  </si>
  <si>
    <t>K007</t>
  </si>
  <si>
    <t>K008</t>
  </si>
  <si>
    <t>K009</t>
  </si>
  <si>
    <t>K010</t>
  </si>
  <si>
    <t>Bagas Nugroho</t>
  </si>
  <si>
    <t>Imam Arifin</t>
  </si>
  <si>
    <t>Syahrul Amin</t>
  </si>
  <si>
    <t>Nuga Tirtayasa</t>
  </si>
  <si>
    <t>Lukman Hakim</t>
  </si>
  <si>
    <t>Risa Ayu Putri</t>
  </si>
  <si>
    <t>Hamid Abdullah</t>
  </si>
  <si>
    <t>Erna Dwi Fitria</t>
  </si>
  <si>
    <t>Muklis Wahyu Adi</t>
  </si>
  <si>
    <t>Bambang Wicaksono</t>
  </si>
  <si>
    <t>No</t>
  </si>
  <si>
    <t>K011</t>
  </si>
  <si>
    <t>K012</t>
  </si>
  <si>
    <t>K013</t>
  </si>
  <si>
    <t>K014</t>
  </si>
  <si>
    <t>K015</t>
  </si>
  <si>
    <t>K016</t>
  </si>
  <si>
    <t>K017</t>
  </si>
  <si>
    <t>K018</t>
  </si>
  <si>
    <t>K019</t>
  </si>
  <si>
    <t>K020</t>
  </si>
  <si>
    <t>Wahyu Adi</t>
  </si>
  <si>
    <t>Riska Putri</t>
  </si>
  <si>
    <t>Salma Tri Utami</t>
  </si>
  <si>
    <t>Gunawan Bakti</t>
  </si>
  <si>
    <t>Putra Bagus Setiawan</t>
  </si>
  <si>
    <t>Jajang Mulyana</t>
  </si>
  <si>
    <t>Hendro Waskito</t>
  </si>
  <si>
    <t>Danang Gustian</t>
  </si>
  <si>
    <t>Wakhid Amirudin</t>
  </si>
  <si>
    <t>Intan Fatika Rahma</t>
  </si>
  <si>
    <t>Admin Finance</t>
  </si>
  <si>
    <t>HRD</t>
  </si>
  <si>
    <t>Marketing</t>
  </si>
  <si>
    <t>LinkedIn</t>
  </si>
  <si>
    <t>Instagram</t>
  </si>
  <si>
    <t>Glint</t>
  </si>
  <si>
    <t>Dimas</t>
  </si>
  <si>
    <t>Angga</t>
  </si>
  <si>
    <t>Wahyuni</t>
  </si>
  <si>
    <t>Baru Masuk</t>
  </si>
  <si>
    <t>Screening</t>
  </si>
  <si>
    <t>Ditolak</t>
  </si>
  <si>
    <t>Tanggal Interview</t>
  </si>
  <si>
    <t>Pewawancara</t>
  </si>
  <si>
    <t>Nilai Interview</t>
  </si>
  <si>
    <t>Ekspektasi Gaji</t>
  </si>
  <si>
    <t>Interview HR</t>
  </si>
  <si>
    <t>Interview User</t>
  </si>
  <si>
    <t>Dwi</t>
  </si>
  <si>
    <t>Rahma</t>
  </si>
  <si>
    <t>Rini</t>
  </si>
  <si>
    <t>Andi</t>
  </si>
  <si>
    <t>Sandi</t>
  </si>
  <si>
    <t>Hasil Akhir</t>
  </si>
  <si>
    <t>Diterima</t>
  </si>
  <si>
    <t>Finance</t>
  </si>
  <si>
    <t>HR Staff</t>
  </si>
  <si>
    <t>Marketing Staff</t>
  </si>
  <si>
    <t>Jobstreet</t>
  </si>
  <si>
    <t>Diproses</t>
  </si>
  <si>
    <t>KPI</t>
  </si>
  <si>
    <t>Kandidat</t>
  </si>
  <si>
    <t>Total</t>
  </si>
  <si>
    <t>Count of Nama Kandidat</t>
  </si>
  <si>
    <t/>
  </si>
  <si>
    <t>TENTANG DASHBOARD</t>
  </si>
  <si>
    <t xml:space="preserve">Deskripsi </t>
  </si>
  <si>
    <t>Tujuan</t>
  </si>
  <si>
    <t>Fitur</t>
  </si>
  <si>
    <t>Tools</t>
  </si>
  <si>
    <t>1. Microsoft Excel 2021
2. Pivot Table
3. Pivot Chart
4. Slicer
5. Data Validation</t>
  </si>
  <si>
    <r>
      <rPr>
        <b/>
        <sz val="14"/>
        <color theme="1"/>
        <rFont val="Calibri"/>
        <family val="2"/>
        <scheme val="minor"/>
      </rPr>
      <t>Cara Menggunakan</t>
    </r>
    <r>
      <rPr>
        <sz val="11"/>
        <color theme="1"/>
        <rFont val="Calibri"/>
        <family val="2"/>
        <scheme val="minor"/>
      </rPr>
      <t xml:space="preserve">
1. Buka sheet Dashboard.
2. Gunakan Slicer untuk memfilter data.
3. KPI dan grafik akan berubah otomatis sesuai filter.</t>
    </r>
  </si>
  <si>
    <t>Dashboard ini dibuat untuk membantu proses monitoring rekrutmen kandidat secara interaktif. Informasi disajikan dalam bentuk KPI dan grafik sehingga memudahkan analisis proses rekrutmen.</t>
  </si>
  <si>
    <t>1. Memantau jumlah pelamar.
2. Memantau status rekrutmen kandidat.
3. Menganalisis sumber pelamar.
4. Melihat distribusi pelamar berdasarkan departemen dan PIC HR.</t>
  </si>
  <si>
    <t>1. KPI Recruitment
2. Pivot Table &amp; Pivot Chart
3. slicer Interaktif
4. Dashboard Visual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</si>
</sst>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4" x14ac:knownFonts="1">
    <font>
      <sz val="11"/>
      <color theme="1"/>
      <name val="Calibri"/>
      <family val="2"/>
      <scheme val="minor"/>
    </font>
    <font>
      <sz val="8"/>
      <name val="Calibri"/>
      <family val="2"/>
      <scheme val="minor"/>
    </font>
    <font>
      <b/>
      <sz val="16"/>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3" fontId="0" fillId="0" borderId="0" xfId="0" applyNumberFormat="1"/>
    <xf numFmtId="0" fontId="0" fillId="0" borderId="0" xfId="0" applyAlignment="1">
      <alignment horizontal="center"/>
    </xf>
    <xf numFmtId="164" fontId="0" fillId="0" borderId="0" xfId="0" applyNumberFormat="1"/>
    <xf numFmtId="0" fontId="0" fillId="0" borderId="1"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0" fillId="0" borderId="0" xfId="0" applyFont="1"/>
    <xf numFmtId="0" fontId="0" fillId="0" borderId="0" xfId="0" applyAlignment="1">
      <alignment wrapText="1"/>
    </xf>
    <xf numFmtId="0" fontId="0" fillId="0" borderId="0" xfId="0" applyAlignment="1">
      <alignment vertical="top" wrapText="1"/>
    </xf>
    <xf numFmtId="0" fontId="3" fillId="0" borderId="0" xfId="0" applyFont="1"/>
    <xf numFmtId="0" fontId="0" fillId="0" borderId="0" xfId="0" applyAlignment="1">
      <alignment vertical="top"/>
    </xf>
    <xf numFmtId="0" fontId="0" fillId="0" borderId="0" xfId="0" applyAlignment="1">
      <alignment horizontal="left" vertical="top" wrapText="1"/>
    </xf>
    <xf numFmtId="0" fontId="0" fillId="0" borderId="0" xfId="0" applyAlignment="1">
      <alignment horizontal="left" vertical="top"/>
    </xf>
    <xf numFmtId="0" fontId="0" fillId="0" borderId="0" xfId="0" applyFont="1" applyAlignment="1">
      <alignment horizontal="left" vertical="top" wrapText="1"/>
    </xf>
    <xf numFmtId="0" fontId="2" fillId="0" borderId="0" xfId="0" applyFont="1" applyAlignment="1">
      <alignment horizontal="center" wrapText="1"/>
    </xf>
  </cellXfs>
  <cellStyles count="1">
    <cellStyle name="Normal" xfId="0" builtinId="0"/>
  </cellStyles>
  <dxfs count="7">
    <dxf>
      <numFmt numFmtId="3" formatCode="#,##0"/>
    </dxf>
    <dxf>
      <numFmt numFmtId="164" formatCode="[$-F800]dddd\,\ mmmm\ dd\,\ yyyy"/>
    </dxf>
    <dxf>
      <numFmt numFmtId="164" formatCode="[$-F800]dddd\,\ mmmm\ dd\,\ yyyy"/>
    </dxf>
    <dxf>
      <alignment horizontal="center" vertical="bottom" textRotation="0" wrapText="0" indent="0" justifyLastLine="0" shrinkToFit="0" readingOrder="0"/>
    </dxf>
    <dxf>
      <alignment horizontal="center" vertical="bottom" textRotation="0" wrapText="0" indent="0" justifyLastLine="0" shrinkToFit="0" readingOrder="0"/>
    </dxf>
    <dxf>
      <fill>
        <patternFill>
          <bgColor theme="9" tint="-0.499984740745262"/>
        </patternFill>
      </fill>
    </dxf>
    <dxf>
      <font>
        <b/>
        <i val="0"/>
        <color theme="0"/>
      </font>
      <fill>
        <patternFill>
          <bgColor theme="9" tint="-0.499984740745262"/>
        </patternFill>
      </fill>
      <border>
        <left style="medium">
          <color theme="9" tint="-0.24994659260841701"/>
        </left>
        <right style="medium">
          <color theme="9" tint="-0.24994659260841701"/>
        </right>
        <top style="medium">
          <color theme="9" tint="-0.24994659260841701"/>
        </top>
        <bottom style="medium">
          <color theme="9" tint="-0.24994659260841701"/>
        </bottom>
      </border>
    </dxf>
  </dxfs>
  <tableStyles count="1" defaultTableStyle="TableStyleMedium2" defaultPivotStyle="PivotStyleLight16">
    <tableStyle name="Slicer Style 1" pivot="0" table="0" count="2" xr9:uid="{F824D1E9-FF85-4D42-8D94-252116B49938}">
      <tableStyleElement type="wholeTable" dxfId="6"/>
      <tableStyleElement type="headerRow" dxfId="5"/>
    </tableStyle>
  </tableStyles>
  <colors>
    <mruColors>
      <color rgb="FFEA00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[recruitment-tracker.xlsx]pivot!PivotTable12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s>
    <c:plotArea>
      <c:layout>
        <c:manualLayout>
          <c:layoutTarget val="inner"/>
          <c:xMode val="edge"/>
          <c:yMode val="edge"/>
          <c:x val="0.20327850840096828"/>
          <c:y val="9.9434992860894925E-2"/>
          <c:w val="0.78095405997397127"/>
          <c:h val="0.83728819350035377"/>
        </c:manualLayout>
      </c:layout>
      <c:barChart>
        <c:barDir val="bar"/>
        <c:grouping val="clustered"/>
        <c:varyColors val="0"/>
        <c:ser>
          <c:idx val="0"/>
          <c:order val="0"/>
          <c:tx>
            <c:strRef>
              <c:f>pivot!$E$10</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733C-4FB3-82A7-4B2FDF240EA4}"/>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733C-4FB3-82A7-4B2FDF240EA4}"/>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733C-4FB3-82A7-4B2FDF240EA4}"/>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2-733C-4FB3-82A7-4B2FDF240E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pivot!$D$11:$D$15</c:f>
              <c:strCache>
                <c:ptCount val="4"/>
                <c:pt idx="0">
                  <c:v>Glint</c:v>
                </c:pt>
                <c:pt idx="1">
                  <c:v>Instagram</c:v>
                </c:pt>
                <c:pt idx="2">
                  <c:v>Jobstreet</c:v>
                </c:pt>
                <c:pt idx="3">
                  <c:v>LinkedIn</c:v>
                </c:pt>
              </c:strCache>
            </c:strRef>
          </c:cat>
          <c:val>
            <c:numRef>
              <c:f>pivot!$E$11:$E$15</c:f>
              <c:numCache>
                <c:formatCode>General</c:formatCode>
                <c:ptCount val="4"/>
                <c:pt idx="0">
                  <c:v>6</c:v>
                </c:pt>
                <c:pt idx="1">
                  <c:v>6</c:v>
                </c:pt>
                <c:pt idx="2">
                  <c:v>2</c:v>
                </c:pt>
                <c:pt idx="3">
                  <c:v>6</c:v>
                </c:pt>
              </c:numCache>
            </c:numRef>
          </c:val>
          <c:extLst>
            <c:ext xmlns:c16="http://schemas.microsoft.com/office/drawing/2014/chart" uri="{C3380CC4-5D6E-409C-BE32-E72D297353CC}">
              <c16:uniqueId val="{00000000-733C-4FB3-82A7-4B2FDF240EA4}"/>
            </c:ext>
          </c:extLst>
        </c:ser>
        <c:dLbls>
          <c:dLblPos val="outEnd"/>
          <c:showLegendKey val="0"/>
          <c:showVal val="1"/>
          <c:showCatName val="0"/>
          <c:showSerName val="0"/>
          <c:showPercent val="0"/>
          <c:showBubbleSize val="0"/>
        </c:dLbls>
        <c:gapWidth val="182"/>
        <c:axId val="1810753887"/>
        <c:axId val="1810735999"/>
      </c:barChart>
      <c:catAx>
        <c:axId val="18107538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735999"/>
        <c:crosses val="autoZero"/>
        <c:auto val="1"/>
        <c:lblAlgn val="ctr"/>
        <c:lblOffset val="100"/>
        <c:noMultiLvlLbl val="0"/>
      </c:catAx>
      <c:valAx>
        <c:axId val="1810735999"/>
        <c:scaling>
          <c:orientation val="minMax"/>
        </c:scaling>
        <c:delete val="1"/>
        <c:axPos val="b"/>
        <c:numFmt formatCode="General" sourceLinked="1"/>
        <c:majorTickMark val="out"/>
        <c:minorTickMark val="none"/>
        <c:tickLblPos val="nextTo"/>
        <c:crossAx val="1810753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[recruitment-tracker.xlsx]pivot!PivotTable13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s>
    <c:plotArea>
      <c:layout/>
      <c:barChart>
        <c:barDir val="col"/>
        <c:grouping val="clustered"/>
        <c:varyColors val="0"/>
        <c:ser>
          <c:idx val="0"/>
          <c:order val="0"/>
          <c:tx>
            <c:strRef>
              <c:f>pivot!$H$10</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92C1-4CE3-99F8-A9E3B1BFF755}"/>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92C1-4CE3-99F8-A9E3B1BFF755}"/>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92C1-4CE3-99F8-A9E3B1BFF7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pivot!$G$11:$G$14</c:f>
              <c:strCache>
                <c:ptCount val="3"/>
                <c:pt idx="0">
                  <c:v>Finance</c:v>
                </c:pt>
                <c:pt idx="1">
                  <c:v>HRD</c:v>
                </c:pt>
                <c:pt idx="2">
                  <c:v>Marketing</c:v>
                </c:pt>
              </c:strCache>
            </c:strRef>
          </c:cat>
          <c:val>
            <c:numRef>
              <c:f>pivot!$H$11:$H$14</c:f>
              <c:numCache>
                <c:formatCode>General</c:formatCode>
                <c:ptCount val="3"/>
                <c:pt idx="0">
                  <c:v>8</c:v>
                </c:pt>
                <c:pt idx="1">
                  <c:v>7</c:v>
                </c:pt>
                <c:pt idx="2">
                  <c:v>5</c:v>
                </c:pt>
              </c:numCache>
            </c:numRef>
          </c:val>
          <c:extLst>
            <c:ext xmlns:c16="http://schemas.microsoft.com/office/drawing/2014/chart" uri="{C3380CC4-5D6E-409C-BE32-E72D297353CC}">
              <c16:uniqueId val="{00000000-92C1-4CE3-99F8-A9E3B1BFF755}"/>
            </c:ext>
          </c:extLst>
        </c:ser>
        <c:dLbls>
          <c:dLblPos val="outEnd"/>
          <c:showLegendKey val="0"/>
          <c:showVal val="1"/>
          <c:showCatName val="0"/>
          <c:showSerName val="0"/>
          <c:showPercent val="0"/>
          <c:showBubbleSize val="0"/>
        </c:dLbls>
        <c:gapWidth val="219"/>
        <c:overlap val="-27"/>
        <c:axId val="1821559471"/>
        <c:axId val="1821561135"/>
      </c:barChart>
      <c:catAx>
        <c:axId val="182155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561135"/>
        <c:crosses val="autoZero"/>
        <c:auto val="1"/>
        <c:lblAlgn val="ctr"/>
        <c:lblOffset val="100"/>
        <c:noMultiLvlLbl val="0"/>
      </c:catAx>
      <c:valAx>
        <c:axId val="1821561135"/>
        <c:scaling>
          <c:orientation val="minMax"/>
        </c:scaling>
        <c:delete val="1"/>
        <c:axPos val="l"/>
        <c:numFmt formatCode="General" sourceLinked="1"/>
        <c:majorTickMark val="none"/>
        <c:minorTickMark val="none"/>
        <c:tickLblPos val="nextTo"/>
        <c:crossAx val="1821559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[recruitment-tracker.xlsx]pivot!PivotTable15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40000"/>
              <a:lumOff val="60000"/>
            </a:schemeClr>
          </a:solidFill>
          <a:ln>
            <a:noFill/>
          </a:ln>
          <a:effectLst/>
        </c:spPr>
      </c:pivotFmt>
      <c:pivotFmt>
        <c:idx val="6"/>
        <c:spPr>
          <a:solidFill>
            <a:schemeClr val="accent6">
              <a:lumMod val="50000"/>
            </a:schemeClr>
          </a:solidFill>
          <a:ln>
            <a:noFill/>
          </a:ln>
          <a:effectLst/>
        </c:spPr>
      </c:pivotFmt>
      <c:pivotFmt>
        <c:idx val="7"/>
        <c:spPr>
          <a:solidFill>
            <a:schemeClr val="accent6">
              <a:lumMod val="50000"/>
            </a:schemeClr>
          </a:solidFill>
          <a:ln>
            <a:noFill/>
          </a:ln>
          <a:effectLst/>
        </c:spPr>
      </c:pivotFmt>
      <c:pivotFmt>
        <c:idx val="8"/>
        <c:spPr>
          <a:solidFill>
            <a:schemeClr val="accent6">
              <a:lumMod val="20000"/>
              <a:lumOff val="80000"/>
            </a:schemeClr>
          </a:solidFill>
          <a:ln>
            <a:noFill/>
          </a:ln>
          <a:effectLst/>
        </c:spPr>
      </c:pivotFmt>
    </c:pivotFmts>
    <c:plotArea>
      <c:layout/>
      <c:barChart>
        <c:barDir val="col"/>
        <c:grouping val="clustered"/>
        <c:varyColors val="0"/>
        <c:ser>
          <c:idx val="0"/>
          <c:order val="0"/>
          <c:tx>
            <c:strRef>
              <c:f>pivot!$K$10</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017D-4613-913B-773B374E3E56}"/>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017D-4613-913B-773B374E3E56}"/>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5-017D-4613-913B-773B374E3E56}"/>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6-017D-4613-913B-773B374E3E56}"/>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017D-4613-913B-773B374E3E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pivot!$J$11:$J$17</c:f>
              <c:strCache>
                <c:ptCount val="6"/>
                <c:pt idx="0">
                  <c:v>Baru Masuk</c:v>
                </c:pt>
                <c:pt idx="1">
                  <c:v>Diterima</c:v>
                </c:pt>
                <c:pt idx="2">
                  <c:v>Ditolak</c:v>
                </c:pt>
                <c:pt idx="3">
                  <c:v>Interview HR</c:v>
                </c:pt>
                <c:pt idx="4">
                  <c:v>Interview User</c:v>
                </c:pt>
                <c:pt idx="5">
                  <c:v>Screening</c:v>
                </c:pt>
              </c:strCache>
            </c:strRef>
          </c:cat>
          <c:val>
            <c:numRef>
              <c:f>pivot!$K$11:$K$17</c:f>
              <c:numCache>
                <c:formatCode>General</c:formatCode>
                <c:ptCount val="6"/>
                <c:pt idx="0">
                  <c:v>4</c:v>
                </c:pt>
                <c:pt idx="1">
                  <c:v>3</c:v>
                </c:pt>
                <c:pt idx="2">
                  <c:v>2</c:v>
                </c:pt>
                <c:pt idx="3">
                  <c:v>5</c:v>
                </c:pt>
                <c:pt idx="4">
                  <c:v>5</c:v>
                </c:pt>
                <c:pt idx="5">
                  <c:v>1</c:v>
                </c:pt>
              </c:numCache>
            </c:numRef>
          </c:val>
          <c:extLst>
            <c:ext xmlns:c16="http://schemas.microsoft.com/office/drawing/2014/chart" uri="{C3380CC4-5D6E-409C-BE32-E72D297353CC}">
              <c16:uniqueId val="{00000000-017D-4613-913B-773B374E3E56}"/>
            </c:ext>
          </c:extLst>
        </c:ser>
        <c:dLbls>
          <c:dLblPos val="outEnd"/>
          <c:showLegendKey val="0"/>
          <c:showVal val="1"/>
          <c:showCatName val="0"/>
          <c:showSerName val="0"/>
          <c:showPercent val="0"/>
          <c:showBubbleSize val="0"/>
        </c:dLbls>
        <c:gapWidth val="219"/>
        <c:overlap val="-27"/>
        <c:axId val="1893193887"/>
        <c:axId val="1893198879"/>
      </c:barChart>
      <c:catAx>
        <c:axId val="189319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198879"/>
        <c:crosses val="autoZero"/>
        <c:auto val="1"/>
        <c:lblAlgn val="ctr"/>
        <c:lblOffset val="100"/>
        <c:noMultiLvlLbl val="0"/>
      </c:catAx>
      <c:valAx>
        <c:axId val="1893198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193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[recruitment-tracker.xlsx]pivot!PivotTable18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s>
    <c:plotArea>
      <c:layout>
        <c:manualLayout>
          <c:layoutTarget val="inner"/>
          <c:xMode val="edge"/>
          <c:yMode val="edge"/>
          <c:x val="0.13748403324584429"/>
          <c:y val="4.6296296296296294E-2"/>
          <c:w val="0.83751596675415574"/>
          <c:h val="0.89814814814814814"/>
        </c:manualLayout>
      </c:layout>
      <c:barChart>
        <c:barDir val="bar"/>
        <c:grouping val="clustered"/>
        <c:varyColors val="0"/>
        <c:ser>
          <c:idx val="0"/>
          <c:order val="0"/>
          <c:tx>
            <c:strRef>
              <c:f>pivot!$B$17</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070B-47B0-97D1-4A9CA6DEBEF7}"/>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070B-47B0-97D1-4A9CA6DEBEF7}"/>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2-070B-47B0-97D1-4A9CA6DEBE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pivot!$A$18:$A$21</c:f>
              <c:strCache>
                <c:ptCount val="3"/>
                <c:pt idx="0">
                  <c:v>Wahyuni</c:v>
                </c:pt>
                <c:pt idx="1">
                  <c:v>Dimas</c:v>
                </c:pt>
                <c:pt idx="2">
                  <c:v>Angga</c:v>
                </c:pt>
              </c:strCache>
            </c:strRef>
          </c:cat>
          <c:val>
            <c:numRef>
              <c:f>pivot!$B$18:$B$21</c:f>
              <c:numCache>
                <c:formatCode>General</c:formatCode>
                <c:ptCount val="3"/>
                <c:pt idx="0">
                  <c:v>5</c:v>
                </c:pt>
                <c:pt idx="1">
                  <c:v>7</c:v>
                </c:pt>
                <c:pt idx="2">
                  <c:v>8</c:v>
                </c:pt>
              </c:numCache>
            </c:numRef>
          </c:val>
          <c:extLst>
            <c:ext xmlns:c16="http://schemas.microsoft.com/office/drawing/2014/chart" uri="{C3380CC4-5D6E-409C-BE32-E72D297353CC}">
              <c16:uniqueId val="{00000000-070B-47B0-97D1-4A9CA6DEBEF7}"/>
            </c:ext>
          </c:extLst>
        </c:ser>
        <c:dLbls>
          <c:dLblPos val="outEnd"/>
          <c:showLegendKey val="0"/>
          <c:showVal val="1"/>
          <c:showCatName val="0"/>
          <c:showSerName val="0"/>
          <c:showPercent val="0"/>
          <c:showBubbleSize val="0"/>
        </c:dLbls>
        <c:gapWidth val="182"/>
        <c:axId val="1893210943"/>
        <c:axId val="1893200959"/>
      </c:barChart>
      <c:catAx>
        <c:axId val="1893210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200959"/>
        <c:crosses val="autoZero"/>
        <c:auto val="1"/>
        <c:lblAlgn val="ctr"/>
        <c:lblOffset val="100"/>
        <c:noMultiLvlLbl val="0"/>
      </c:catAx>
      <c:valAx>
        <c:axId val="1893200959"/>
        <c:scaling>
          <c:orientation val="minMax"/>
        </c:scaling>
        <c:delete val="1"/>
        <c:axPos val="b"/>
        <c:numFmt formatCode="General" sourceLinked="1"/>
        <c:majorTickMark val="none"/>
        <c:minorTickMark val="none"/>
        <c:tickLblPos val="nextTo"/>
        <c:crossAx val="1893210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369095</xdr:colOff>
      <xdr:row>0</xdr:row>
      <xdr:rowOff>1</xdr:rowOff>
    </xdr:from>
    <xdr:to>
      <xdr:col>13</xdr:col>
      <xdr:colOff>317500</xdr:colOff>
      <xdr:row>4</xdr:row>
      <xdr:rowOff>11907</xdr:rowOff>
    </xdr:to>
    <xdr:sp macro="" textlink="">
      <xdr:nvSpPr>
        <xdr:cNvPr id="3" name="Rectangle 2">
          <a:extLst>
            <a:ext uri="{FF2B5EF4-FFF2-40B4-BE49-F238E27FC236}">
              <a16:creationId xmlns:a16="http://schemas.microsoft.com/office/drawing/2014/main" id="{8E3860D8-9E98-4B32-819C-3541536659AC}"/>
            </a:ext>
          </a:extLst>
        </xdr:cNvPr>
        <xdr:cNvSpPr/>
      </xdr:nvSpPr>
      <xdr:spPr>
        <a:xfrm>
          <a:off x="1590249" y="1"/>
          <a:ext cx="6664751" cy="793444"/>
        </a:xfrm>
        <a:prstGeom prst="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D" sz="1100"/>
        </a:p>
      </xdr:txBody>
    </xdr:sp>
    <xdr:clientData/>
  </xdr:twoCellAnchor>
  <xdr:twoCellAnchor>
    <xdr:from>
      <xdr:col>0</xdr:col>
      <xdr:colOff>1</xdr:colOff>
      <xdr:row>0</xdr:row>
      <xdr:rowOff>23812</xdr:rowOff>
    </xdr:from>
    <xdr:to>
      <xdr:col>2</xdr:col>
      <xdr:colOff>321469</xdr:colOff>
      <xdr:row>28</xdr:row>
      <xdr:rowOff>47625</xdr:rowOff>
    </xdr:to>
    <xdr:sp macro="" textlink="">
      <xdr:nvSpPr>
        <xdr:cNvPr id="4" name="Rectangle 3">
          <a:extLst>
            <a:ext uri="{FF2B5EF4-FFF2-40B4-BE49-F238E27FC236}">
              <a16:creationId xmlns:a16="http://schemas.microsoft.com/office/drawing/2014/main" id="{6C24CFFD-E283-4C63-B46A-448A29591108}"/>
            </a:ext>
          </a:extLst>
        </xdr:cNvPr>
        <xdr:cNvSpPr/>
      </xdr:nvSpPr>
      <xdr:spPr>
        <a:xfrm>
          <a:off x="1" y="23812"/>
          <a:ext cx="1535906" cy="5357813"/>
        </a:xfrm>
        <a:prstGeom prst="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409574</xdr:colOff>
      <xdr:row>0</xdr:row>
      <xdr:rowOff>152401</xdr:rowOff>
    </xdr:from>
    <xdr:to>
      <xdr:col>12</xdr:col>
      <xdr:colOff>309562</xdr:colOff>
      <xdr:row>3</xdr:row>
      <xdr:rowOff>1</xdr:rowOff>
    </xdr:to>
    <xdr:sp macro="" textlink="">
      <xdr:nvSpPr>
        <xdr:cNvPr id="5" name="TextBox 4">
          <a:extLst>
            <a:ext uri="{FF2B5EF4-FFF2-40B4-BE49-F238E27FC236}">
              <a16:creationId xmlns:a16="http://schemas.microsoft.com/office/drawing/2014/main" id="{0DC99F47-6311-43C1-8410-414748E22EA2}"/>
            </a:ext>
          </a:extLst>
        </xdr:cNvPr>
        <xdr:cNvSpPr txBox="1"/>
      </xdr:nvSpPr>
      <xdr:spPr>
        <a:xfrm>
          <a:off x="2231230" y="152401"/>
          <a:ext cx="5364957"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a:ln>
                <a:noFill/>
              </a:ln>
              <a:solidFill>
                <a:schemeClr val="bg1"/>
              </a:solidFill>
              <a:effectLst>
                <a:outerShdw blurRad="50800" dist="38100" dir="2700000" algn="tl" rotWithShape="0">
                  <a:prstClr val="black">
                    <a:alpha val="40000"/>
                  </a:prstClr>
                </a:outerShdw>
              </a:effectLst>
            </a:rPr>
            <a:t> HR RECRUITMENT DASHBOARD</a:t>
          </a:r>
        </a:p>
      </xdr:txBody>
    </xdr:sp>
    <xdr:clientData/>
  </xdr:twoCellAnchor>
  <xdr:twoCellAnchor>
    <xdr:from>
      <xdr:col>2</xdr:col>
      <xdr:colOff>352425</xdr:colOff>
      <xdr:row>4</xdr:row>
      <xdr:rowOff>50007</xdr:rowOff>
    </xdr:from>
    <xdr:to>
      <xdr:col>5</xdr:col>
      <xdr:colOff>126206</xdr:colOff>
      <xdr:row>9</xdr:row>
      <xdr:rowOff>76201</xdr:rowOff>
    </xdr:to>
    <xdr:sp macro="" textlink="">
      <xdr:nvSpPr>
        <xdr:cNvPr id="15" name="Rectangle 14">
          <a:extLst>
            <a:ext uri="{FF2B5EF4-FFF2-40B4-BE49-F238E27FC236}">
              <a16:creationId xmlns:a16="http://schemas.microsoft.com/office/drawing/2014/main" id="{D48D4790-33B1-4793-9854-CD0E4606D862}"/>
            </a:ext>
          </a:extLst>
        </xdr:cNvPr>
        <xdr:cNvSpPr/>
      </xdr:nvSpPr>
      <xdr:spPr>
        <a:xfrm>
          <a:off x="1566863" y="812007"/>
          <a:ext cx="1595437" cy="97869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230981</xdr:colOff>
      <xdr:row>4</xdr:row>
      <xdr:rowOff>50007</xdr:rowOff>
    </xdr:from>
    <xdr:to>
      <xdr:col>8</xdr:col>
      <xdr:colOff>4762</xdr:colOff>
      <xdr:row>9</xdr:row>
      <xdr:rowOff>76201</xdr:rowOff>
    </xdr:to>
    <xdr:sp macro="" textlink="">
      <xdr:nvSpPr>
        <xdr:cNvPr id="16" name="Rectangle 15">
          <a:extLst>
            <a:ext uri="{FF2B5EF4-FFF2-40B4-BE49-F238E27FC236}">
              <a16:creationId xmlns:a16="http://schemas.microsoft.com/office/drawing/2014/main" id="{FB6533FE-6F89-4835-B556-0E29FEFE9682}"/>
            </a:ext>
          </a:extLst>
        </xdr:cNvPr>
        <xdr:cNvSpPr/>
      </xdr:nvSpPr>
      <xdr:spPr>
        <a:xfrm>
          <a:off x="3267075" y="812007"/>
          <a:ext cx="1595437" cy="97869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76199</xdr:colOff>
      <xdr:row>4</xdr:row>
      <xdr:rowOff>50009</xdr:rowOff>
    </xdr:from>
    <xdr:to>
      <xdr:col>10</xdr:col>
      <xdr:colOff>459580</xdr:colOff>
      <xdr:row>9</xdr:row>
      <xdr:rowOff>76203</xdr:rowOff>
    </xdr:to>
    <xdr:sp macro="" textlink="">
      <xdr:nvSpPr>
        <xdr:cNvPr id="17" name="Rectangle 16">
          <a:extLst>
            <a:ext uri="{FF2B5EF4-FFF2-40B4-BE49-F238E27FC236}">
              <a16:creationId xmlns:a16="http://schemas.microsoft.com/office/drawing/2014/main" id="{2B3D2D67-DA52-418C-B73D-425B946FE799}"/>
            </a:ext>
          </a:extLst>
        </xdr:cNvPr>
        <xdr:cNvSpPr/>
      </xdr:nvSpPr>
      <xdr:spPr>
        <a:xfrm>
          <a:off x="4933949" y="812009"/>
          <a:ext cx="1597819" cy="97869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535782</xdr:colOff>
      <xdr:row>4</xdr:row>
      <xdr:rowOff>38100</xdr:rowOff>
    </xdr:from>
    <xdr:to>
      <xdr:col>13</xdr:col>
      <xdr:colOff>309563</xdr:colOff>
      <xdr:row>9</xdr:row>
      <xdr:rowOff>64294</xdr:rowOff>
    </xdr:to>
    <xdr:sp macro="" textlink="">
      <xdr:nvSpPr>
        <xdr:cNvPr id="18" name="Rectangle 17">
          <a:extLst>
            <a:ext uri="{FF2B5EF4-FFF2-40B4-BE49-F238E27FC236}">
              <a16:creationId xmlns:a16="http://schemas.microsoft.com/office/drawing/2014/main" id="{346A605A-CD84-4070-B684-92098C3391DB}"/>
            </a:ext>
          </a:extLst>
        </xdr:cNvPr>
        <xdr:cNvSpPr/>
      </xdr:nvSpPr>
      <xdr:spPr>
        <a:xfrm>
          <a:off x="6607970" y="800100"/>
          <a:ext cx="1595437" cy="97869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373856</xdr:colOff>
      <xdr:row>9</xdr:row>
      <xdr:rowOff>142874</xdr:rowOff>
    </xdr:from>
    <xdr:to>
      <xdr:col>7</xdr:col>
      <xdr:colOff>583406</xdr:colOff>
      <xdr:row>18</xdr:row>
      <xdr:rowOff>142875</xdr:rowOff>
    </xdr:to>
    <xdr:sp macro="" textlink="">
      <xdr:nvSpPr>
        <xdr:cNvPr id="20" name="Rectangle 19">
          <a:extLst>
            <a:ext uri="{FF2B5EF4-FFF2-40B4-BE49-F238E27FC236}">
              <a16:creationId xmlns:a16="http://schemas.microsoft.com/office/drawing/2014/main" id="{F14BF177-DA36-4A84-94C9-B2ACC9356D02}"/>
            </a:ext>
          </a:extLst>
        </xdr:cNvPr>
        <xdr:cNvSpPr/>
      </xdr:nvSpPr>
      <xdr:spPr>
        <a:xfrm>
          <a:off x="1588294" y="1857374"/>
          <a:ext cx="3245643" cy="17145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383382</xdr:colOff>
      <xdr:row>19</xdr:row>
      <xdr:rowOff>33338</xdr:rowOff>
    </xdr:from>
    <xdr:to>
      <xdr:col>7</xdr:col>
      <xdr:colOff>592932</xdr:colOff>
      <xdr:row>28</xdr:row>
      <xdr:rowOff>33339</xdr:rowOff>
    </xdr:to>
    <xdr:sp macro="" textlink="">
      <xdr:nvSpPr>
        <xdr:cNvPr id="23" name="Rectangle 22">
          <a:extLst>
            <a:ext uri="{FF2B5EF4-FFF2-40B4-BE49-F238E27FC236}">
              <a16:creationId xmlns:a16="http://schemas.microsoft.com/office/drawing/2014/main" id="{BBFB7771-B5A0-42CB-A2E9-1137A95D2099}"/>
            </a:ext>
          </a:extLst>
        </xdr:cNvPr>
        <xdr:cNvSpPr/>
      </xdr:nvSpPr>
      <xdr:spPr>
        <a:xfrm>
          <a:off x="1597820" y="3652838"/>
          <a:ext cx="3245643" cy="17145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97630</xdr:colOff>
      <xdr:row>9</xdr:row>
      <xdr:rowOff>128588</xdr:rowOff>
    </xdr:from>
    <xdr:to>
      <xdr:col>13</xdr:col>
      <xdr:colOff>307179</xdr:colOff>
      <xdr:row>18</xdr:row>
      <xdr:rowOff>128589</xdr:rowOff>
    </xdr:to>
    <xdr:sp macro="" textlink="">
      <xdr:nvSpPr>
        <xdr:cNvPr id="24" name="Rectangle 23">
          <a:extLst>
            <a:ext uri="{FF2B5EF4-FFF2-40B4-BE49-F238E27FC236}">
              <a16:creationId xmlns:a16="http://schemas.microsoft.com/office/drawing/2014/main" id="{EFB87BEB-2B71-432E-B4CE-E247C9A29040}"/>
            </a:ext>
          </a:extLst>
        </xdr:cNvPr>
        <xdr:cNvSpPr/>
      </xdr:nvSpPr>
      <xdr:spPr>
        <a:xfrm>
          <a:off x="4955380" y="1843088"/>
          <a:ext cx="3245643" cy="17145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107154</xdr:colOff>
      <xdr:row>19</xdr:row>
      <xdr:rowOff>19052</xdr:rowOff>
    </xdr:from>
    <xdr:to>
      <xdr:col>13</xdr:col>
      <xdr:colOff>316703</xdr:colOff>
      <xdr:row>28</xdr:row>
      <xdr:rowOff>19053</xdr:rowOff>
    </xdr:to>
    <xdr:sp macro="" textlink="">
      <xdr:nvSpPr>
        <xdr:cNvPr id="25" name="Rectangle 24">
          <a:extLst>
            <a:ext uri="{FF2B5EF4-FFF2-40B4-BE49-F238E27FC236}">
              <a16:creationId xmlns:a16="http://schemas.microsoft.com/office/drawing/2014/main" id="{4078C534-E258-457D-9D8A-971D35EA26FF}"/>
            </a:ext>
          </a:extLst>
        </xdr:cNvPr>
        <xdr:cNvSpPr/>
      </xdr:nvSpPr>
      <xdr:spPr>
        <a:xfrm>
          <a:off x="4964904" y="3638552"/>
          <a:ext cx="3245643" cy="17145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488157</xdr:colOff>
      <xdr:row>4</xdr:row>
      <xdr:rowOff>119064</xdr:rowOff>
    </xdr:from>
    <xdr:to>
      <xdr:col>5</xdr:col>
      <xdr:colOff>47626</xdr:colOff>
      <xdr:row>6</xdr:row>
      <xdr:rowOff>11908</xdr:rowOff>
    </xdr:to>
    <xdr:sp macro="" textlink="">
      <xdr:nvSpPr>
        <xdr:cNvPr id="33" name="TextBox 32">
          <a:extLst>
            <a:ext uri="{FF2B5EF4-FFF2-40B4-BE49-F238E27FC236}">
              <a16:creationId xmlns:a16="http://schemas.microsoft.com/office/drawing/2014/main" id="{E8BED2EE-352B-4B79-B258-147432690DDB}"/>
            </a:ext>
          </a:extLst>
        </xdr:cNvPr>
        <xdr:cNvSpPr txBox="1"/>
      </xdr:nvSpPr>
      <xdr:spPr>
        <a:xfrm>
          <a:off x="1702595" y="881064"/>
          <a:ext cx="1381125"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chemeClr val="bg2">
                  <a:lumMod val="50000"/>
                </a:schemeClr>
              </a:solidFill>
            </a:rPr>
            <a:t>Total  Pelamar</a:t>
          </a:r>
        </a:p>
      </xdr:txBody>
    </xdr:sp>
    <xdr:clientData/>
  </xdr:twoCellAnchor>
  <xdr:twoCellAnchor>
    <xdr:from>
      <xdr:col>5</xdr:col>
      <xdr:colOff>319088</xdr:colOff>
      <xdr:row>4</xdr:row>
      <xdr:rowOff>116683</xdr:rowOff>
    </xdr:from>
    <xdr:to>
      <xdr:col>7</xdr:col>
      <xdr:colOff>485776</xdr:colOff>
      <xdr:row>6</xdr:row>
      <xdr:rowOff>9527</xdr:rowOff>
    </xdr:to>
    <xdr:sp macro="" textlink="">
      <xdr:nvSpPr>
        <xdr:cNvPr id="39" name="TextBox 38">
          <a:extLst>
            <a:ext uri="{FF2B5EF4-FFF2-40B4-BE49-F238E27FC236}">
              <a16:creationId xmlns:a16="http://schemas.microsoft.com/office/drawing/2014/main" id="{D470DE16-38A4-4E50-9064-921441524826}"/>
            </a:ext>
          </a:extLst>
        </xdr:cNvPr>
        <xdr:cNvSpPr txBox="1"/>
      </xdr:nvSpPr>
      <xdr:spPr>
        <a:xfrm>
          <a:off x="3355182" y="878683"/>
          <a:ext cx="1381125"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chemeClr val="bg2">
                  <a:lumMod val="50000"/>
                </a:schemeClr>
              </a:solidFill>
            </a:rPr>
            <a:t>Diterima</a:t>
          </a:r>
        </a:p>
      </xdr:txBody>
    </xdr:sp>
    <xdr:clientData/>
  </xdr:twoCellAnchor>
  <xdr:twoCellAnchor>
    <xdr:from>
      <xdr:col>8</xdr:col>
      <xdr:colOff>173832</xdr:colOff>
      <xdr:row>4</xdr:row>
      <xdr:rowOff>126208</xdr:rowOff>
    </xdr:from>
    <xdr:to>
      <xdr:col>10</xdr:col>
      <xdr:colOff>340519</xdr:colOff>
      <xdr:row>6</xdr:row>
      <xdr:rowOff>19052</xdr:rowOff>
    </xdr:to>
    <xdr:sp macro="" textlink="">
      <xdr:nvSpPr>
        <xdr:cNvPr id="40" name="TextBox 39">
          <a:extLst>
            <a:ext uri="{FF2B5EF4-FFF2-40B4-BE49-F238E27FC236}">
              <a16:creationId xmlns:a16="http://schemas.microsoft.com/office/drawing/2014/main" id="{4B4F1D3E-AF59-44E6-9366-67A5B5777465}"/>
            </a:ext>
          </a:extLst>
        </xdr:cNvPr>
        <xdr:cNvSpPr txBox="1"/>
      </xdr:nvSpPr>
      <xdr:spPr>
        <a:xfrm>
          <a:off x="5031582" y="888208"/>
          <a:ext cx="1381125"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chemeClr val="bg2">
                  <a:lumMod val="50000"/>
                </a:schemeClr>
              </a:solidFill>
            </a:rPr>
            <a:t>Diproses</a:t>
          </a:r>
        </a:p>
      </xdr:txBody>
    </xdr:sp>
    <xdr:clientData/>
  </xdr:twoCellAnchor>
  <xdr:twoCellAnchor>
    <xdr:from>
      <xdr:col>11</xdr:col>
      <xdr:colOff>28575</xdr:colOff>
      <xdr:row>4</xdr:row>
      <xdr:rowOff>123826</xdr:rowOff>
    </xdr:from>
    <xdr:to>
      <xdr:col>13</xdr:col>
      <xdr:colOff>195262</xdr:colOff>
      <xdr:row>6</xdr:row>
      <xdr:rowOff>16670</xdr:rowOff>
    </xdr:to>
    <xdr:sp macro="" textlink="">
      <xdr:nvSpPr>
        <xdr:cNvPr id="41" name="TextBox 40">
          <a:extLst>
            <a:ext uri="{FF2B5EF4-FFF2-40B4-BE49-F238E27FC236}">
              <a16:creationId xmlns:a16="http://schemas.microsoft.com/office/drawing/2014/main" id="{982DE7C2-9AB6-4C1A-90E7-8D6D31513A7C}"/>
            </a:ext>
          </a:extLst>
        </xdr:cNvPr>
        <xdr:cNvSpPr txBox="1"/>
      </xdr:nvSpPr>
      <xdr:spPr>
        <a:xfrm>
          <a:off x="6707981" y="885826"/>
          <a:ext cx="1381125"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chemeClr val="bg2">
                  <a:lumMod val="50000"/>
                </a:schemeClr>
              </a:solidFill>
            </a:rPr>
            <a:t>Ditolak</a:t>
          </a:r>
        </a:p>
      </xdr:txBody>
    </xdr:sp>
    <xdr:clientData/>
  </xdr:twoCellAnchor>
  <xdr:twoCellAnchor>
    <xdr:from>
      <xdr:col>2</xdr:col>
      <xdr:colOff>473870</xdr:colOff>
      <xdr:row>5</xdr:row>
      <xdr:rowOff>188121</xdr:rowOff>
    </xdr:from>
    <xdr:to>
      <xdr:col>5</xdr:col>
      <xdr:colOff>33339</xdr:colOff>
      <xdr:row>8</xdr:row>
      <xdr:rowOff>123825</xdr:rowOff>
    </xdr:to>
    <xdr:sp macro="" textlink="P3">
      <xdr:nvSpPr>
        <xdr:cNvPr id="42" name="TextBox 41">
          <a:extLst>
            <a:ext uri="{FF2B5EF4-FFF2-40B4-BE49-F238E27FC236}">
              <a16:creationId xmlns:a16="http://schemas.microsoft.com/office/drawing/2014/main" id="{093E515B-93F3-455B-976E-57C5E0590609}"/>
            </a:ext>
          </a:extLst>
        </xdr:cNvPr>
        <xdr:cNvSpPr txBox="1"/>
      </xdr:nvSpPr>
      <xdr:spPr>
        <a:xfrm>
          <a:off x="1695024" y="1165044"/>
          <a:ext cx="1391200" cy="521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4A368B-97AA-40A2-B068-AFBD8060D6CC}" type="TxLink">
            <a:rPr lang="en-US" sz="4000" b="1" i="0" u="none" strike="noStrike">
              <a:solidFill>
                <a:schemeClr val="accent6">
                  <a:lumMod val="75000"/>
                </a:schemeClr>
              </a:solidFill>
              <a:latin typeface="Calibri"/>
              <a:ea typeface="+mn-ea"/>
              <a:cs typeface="Calibri"/>
            </a:rPr>
            <a:pPr marL="0" indent="0" algn="ctr"/>
            <a:t>20</a:t>
          </a:fld>
          <a:endParaRPr lang="en-US" sz="4000" b="1" i="0" u="none" strike="noStrike">
            <a:solidFill>
              <a:schemeClr val="accent6">
                <a:lumMod val="75000"/>
              </a:schemeClr>
            </a:solidFill>
            <a:latin typeface="Calibri"/>
            <a:ea typeface="+mn-ea"/>
            <a:cs typeface="Calibri"/>
          </a:endParaRPr>
        </a:p>
      </xdr:txBody>
    </xdr:sp>
    <xdr:clientData/>
  </xdr:twoCellAnchor>
  <xdr:twoCellAnchor>
    <xdr:from>
      <xdr:col>5</xdr:col>
      <xdr:colOff>280989</xdr:colOff>
      <xdr:row>5</xdr:row>
      <xdr:rowOff>168279</xdr:rowOff>
    </xdr:from>
    <xdr:to>
      <xdr:col>7</xdr:col>
      <xdr:colOff>447677</xdr:colOff>
      <xdr:row>8</xdr:row>
      <xdr:rowOff>106242</xdr:rowOff>
    </xdr:to>
    <xdr:sp macro="" textlink="P4">
      <xdr:nvSpPr>
        <xdr:cNvPr id="43" name="TextBox 42">
          <a:extLst>
            <a:ext uri="{FF2B5EF4-FFF2-40B4-BE49-F238E27FC236}">
              <a16:creationId xmlns:a16="http://schemas.microsoft.com/office/drawing/2014/main" id="{161EE1DA-B750-4E53-A5C8-20EE98DC359A}"/>
            </a:ext>
          </a:extLst>
        </xdr:cNvPr>
        <xdr:cNvSpPr txBox="1"/>
      </xdr:nvSpPr>
      <xdr:spPr>
        <a:xfrm>
          <a:off x="3333874" y="1145202"/>
          <a:ext cx="1387841" cy="524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44DBAA-2370-498C-A650-393196C2207F}" type="TxLink">
            <a:rPr lang="en-US" sz="4000" b="1" i="0" u="none" strike="noStrike">
              <a:solidFill>
                <a:schemeClr val="accent6">
                  <a:lumMod val="75000"/>
                </a:schemeClr>
              </a:solidFill>
              <a:latin typeface="Calibri"/>
              <a:ea typeface="+mn-ea"/>
              <a:cs typeface="Calibri"/>
            </a:rPr>
            <a:pPr marL="0" indent="0" algn="ctr"/>
            <a:t>3</a:t>
          </a:fld>
          <a:endParaRPr lang="en-ID" sz="4000" b="1" i="0" u="none" strike="noStrike">
            <a:solidFill>
              <a:schemeClr val="accent6">
                <a:lumMod val="75000"/>
              </a:schemeClr>
            </a:solidFill>
            <a:latin typeface="Calibri"/>
            <a:ea typeface="+mn-ea"/>
            <a:cs typeface="Calibri"/>
          </a:endParaRPr>
        </a:p>
      </xdr:txBody>
    </xdr:sp>
    <xdr:clientData/>
  </xdr:twoCellAnchor>
  <xdr:twoCellAnchor>
    <xdr:from>
      <xdr:col>8</xdr:col>
      <xdr:colOff>159545</xdr:colOff>
      <xdr:row>5</xdr:row>
      <xdr:rowOff>188122</xdr:rowOff>
    </xdr:from>
    <xdr:to>
      <xdr:col>10</xdr:col>
      <xdr:colOff>326232</xdr:colOff>
      <xdr:row>8</xdr:row>
      <xdr:rowOff>130970</xdr:rowOff>
    </xdr:to>
    <xdr:sp macro="" textlink="P5">
      <xdr:nvSpPr>
        <xdr:cNvPr id="44" name="TextBox 43">
          <a:extLst>
            <a:ext uri="{FF2B5EF4-FFF2-40B4-BE49-F238E27FC236}">
              <a16:creationId xmlns:a16="http://schemas.microsoft.com/office/drawing/2014/main" id="{841C7871-5481-4447-9736-1041CB45553D}"/>
            </a:ext>
          </a:extLst>
        </xdr:cNvPr>
        <xdr:cNvSpPr txBox="1"/>
      </xdr:nvSpPr>
      <xdr:spPr>
        <a:xfrm>
          <a:off x="5036345" y="1140622"/>
          <a:ext cx="1385887" cy="514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947FA38-BDD8-4F95-8AEA-2F6221998168}" type="TxLink">
            <a:rPr lang="en-US" sz="4000" b="1" i="0" u="none" strike="noStrike">
              <a:solidFill>
                <a:schemeClr val="accent6">
                  <a:lumMod val="75000"/>
                </a:schemeClr>
              </a:solidFill>
              <a:latin typeface="Calibri"/>
              <a:ea typeface="+mn-ea"/>
              <a:cs typeface="Calibri"/>
            </a:rPr>
            <a:pPr marL="0" indent="0" algn="ctr"/>
            <a:t>15</a:t>
          </a:fld>
          <a:endParaRPr lang="en-ID" sz="4000" b="1" i="0" u="none" strike="noStrike">
            <a:solidFill>
              <a:schemeClr val="accent6">
                <a:lumMod val="75000"/>
              </a:schemeClr>
            </a:solidFill>
            <a:latin typeface="Calibri"/>
            <a:ea typeface="+mn-ea"/>
            <a:cs typeface="Calibri"/>
          </a:endParaRPr>
        </a:p>
      </xdr:txBody>
    </xdr:sp>
    <xdr:clientData/>
  </xdr:twoCellAnchor>
  <xdr:twoCellAnchor>
    <xdr:from>
      <xdr:col>11</xdr:col>
      <xdr:colOff>14289</xdr:colOff>
      <xdr:row>5</xdr:row>
      <xdr:rowOff>166691</xdr:rowOff>
    </xdr:from>
    <xdr:to>
      <xdr:col>13</xdr:col>
      <xdr:colOff>180976</xdr:colOff>
      <xdr:row>8</xdr:row>
      <xdr:rowOff>109539</xdr:rowOff>
    </xdr:to>
    <xdr:sp macro="" textlink="P6">
      <xdr:nvSpPr>
        <xdr:cNvPr id="45" name="TextBox 44">
          <a:extLst>
            <a:ext uri="{FF2B5EF4-FFF2-40B4-BE49-F238E27FC236}">
              <a16:creationId xmlns:a16="http://schemas.microsoft.com/office/drawing/2014/main" id="{64A5B772-1ACD-4E48-86DD-06C0B2CBB8C3}"/>
            </a:ext>
          </a:extLst>
        </xdr:cNvPr>
        <xdr:cNvSpPr txBox="1"/>
      </xdr:nvSpPr>
      <xdr:spPr>
        <a:xfrm>
          <a:off x="6719889" y="1119191"/>
          <a:ext cx="1385887" cy="514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6DA2A5-74AB-4DE3-924A-3356A3BF2A78}" type="TxLink">
            <a:rPr lang="en-US" sz="4000" b="1" i="0" u="none" strike="noStrike">
              <a:solidFill>
                <a:schemeClr val="accent6">
                  <a:lumMod val="75000"/>
                </a:schemeClr>
              </a:solidFill>
              <a:latin typeface="Calibri"/>
              <a:ea typeface="+mn-ea"/>
              <a:cs typeface="Calibri"/>
            </a:rPr>
            <a:pPr marL="0" indent="0" algn="ctr"/>
            <a:t>2</a:t>
          </a:fld>
          <a:endParaRPr lang="en-ID" sz="4000" b="1" i="0" u="none" strike="noStrike">
            <a:solidFill>
              <a:schemeClr val="accent6">
                <a:lumMod val="75000"/>
              </a:schemeClr>
            </a:solidFill>
            <a:latin typeface="Calibri"/>
            <a:ea typeface="+mn-ea"/>
            <a:cs typeface="Calibri"/>
          </a:endParaRPr>
        </a:p>
      </xdr:txBody>
    </xdr:sp>
    <xdr:clientData/>
  </xdr:twoCellAnchor>
  <xdr:twoCellAnchor>
    <xdr:from>
      <xdr:col>3</xdr:col>
      <xdr:colOff>219075</xdr:colOff>
      <xdr:row>10</xdr:row>
      <xdr:rowOff>19050</xdr:rowOff>
    </xdr:from>
    <xdr:to>
      <xdr:col>7</xdr:col>
      <xdr:colOff>66675</xdr:colOff>
      <xdr:row>11</xdr:row>
      <xdr:rowOff>28575</xdr:rowOff>
    </xdr:to>
    <xdr:sp macro="" textlink="">
      <xdr:nvSpPr>
        <xdr:cNvPr id="48" name="TextBox 47">
          <a:extLst>
            <a:ext uri="{FF2B5EF4-FFF2-40B4-BE49-F238E27FC236}">
              <a16:creationId xmlns:a16="http://schemas.microsoft.com/office/drawing/2014/main" id="{1EC2AB4F-45D8-4AF9-BAFA-100D851B1A06}"/>
            </a:ext>
          </a:extLst>
        </xdr:cNvPr>
        <xdr:cNvSpPr txBox="1"/>
      </xdr:nvSpPr>
      <xdr:spPr>
        <a:xfrm>
          <a:off x="2047875" y="1924050"/>
          <a:ext cx="22860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chemeClr val="bg2">
                  <a:lumMod val="50000"/>
                </a:schemeClr>
              </a:solidFill>
            </a:rPr>
            <a:t>Sumber</a:t>
          </a:r>
          <a:r>
            <a:rPr lang="en-ID" sz="1400" b="1" baseline="0">
              <a:solidFill>
                <a:schemeClr val="bg2">
                  <a:lumMod val="50000"/>
                </a:schemeClr>
              </a:solidFill>
            </a:rPr>
            <a:t> Pelamar</a:t>
          </a:r>
          <a:endParaRPr lang="en-ID" sz="1400" b="1">
            <a:solidFill>
              <a:schemeClr val="bg2">
                <a:lumMod val="50000"/>
              </a:schemeClr>
            </a:solidFill>
          </a:endParaRPr>
        </a:p>
      </xdr:txBody>
    </xdr:sp>
    <xdr:clientData/>
  </xdr:twoCellAnchor>
  <xdr:twoCellAnchor>
    <xdr:from>
      <xdr:col>8</xdr:col>
      <xdr:colOff>476250</xdr:colOff>
      <xdr:row>10</xdr:row>
      <xdr:rowOff>9525</xdr:rowOff>
    </xdr:from>
    <xdr:to>
      <xdr:col>12</xdr:col>
      <xdr:colOff>323850</xdr:colOff>
      <xdr:row>11</xdr:row>
      <xdr:rowOff>19050</xdr:rowOff>
    </xdr:to>
    <xdr:sp macro="" textlink="">
      <xdr:nvSpPr>
        <xdr:cNvPr id="50" name="TextBox 49">
          <a:extLst>
            <a:ext uri="{FF2B5EF4-FFF2-40B4-BE49-F238E27FC236}">
              <a16:creationId xmlns:a16="http://schemas.microsoft.com/office/drawing/2014/main" id="{7F0891CF-E909-4046-9403-AB4C315C6646}"/>
            </a:ext>
          </a:extLst>
        </xdr:cNvPr>
        <xdr:cNvSpPr txBox="1"/>
      </xdr:nvSpPr>
      <xdr:spPr>
        <a:xfrm>
          <a:off x="5353050" y="1914525"/>
          <a:ext cx="22860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chemeClr val="bg2">
                  <a:lumMod val="50000"/>
                </a:schemeClr>
              </a:solidFill>
            </a:rPr>
            <a:t>Minat Departemen</a:t>
          </a:r>
        </a:p>
      </xdr:txBody>
    </xdr:sp>
    <xdr:clientData/>
  </xdr:twoCellAnchor>
  <xdr:twoCellAnchor>
    <xdr:from>
      <xdr:col>3</xdr:col>
      <xdr:colOff>219075</xdr:colOff>
      <xdr:row>19</xdr:row>
      <xdr:rowOff>95250</xdr:rowOff>
    </xdr:from>
    <xdr:to>
      <xdr:col>7</xdr:col>
      <xdr:colOff>66675</xdr:colOff>
      <xdr:row>20</xdr:row>
      <xdr:rowOff>104775</xdr:rowOff>
    </xdr:to>
    <xdr:sp macro="" textlink="">
      <xdr:nvSpPr>
        <xdr:cNvPr id="52" name="TextBox 51">
          <a:extLst>
            <a:ext uri="{FF2B5EF4-FFF2-40B4-BE49-F238E27FC236}">
              <a16:creationId xmlns:a16="http://schemas.microsoft.com/office/drawing/2014/main" id="{EB279601-92BD-47F4-92E4-DDBAC5EC1C3A}"/>
            </a:ext>
          </a:extLst>
        </xdr:cNvPr>
        <xdr:cNvSpPr txBox="1"/>
      </xdr:nvSpPr>
      <xdr:spPr>
        <a:xfrm>
          <a:off x="2047875" y="3714750"/>
          <a:ext cx="22860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baseline="0">
              <a:solidFill>
                <a:schemeClr val="bg2">
                  <a:lumMod val="50000"/>
                </a:schemeClr>
              </a:solidFill>
            </a:rPr>
            <a:t>Status Pelamar</a:t>
          </a:r>
          <a:endParaRPr lang="en-ID" sz="1400" b="1">
            <a:solidFill>
              <a:schemeClr val="bg2">
                <a:lumMod val="50000"/>
              </a:schemeClr>
            </a:solidFill>
          </a:endParaRPr>
        </a:p>
      </xdr:txBody>
    </xdr:sp>
    <xdr:clientData/>
  </xdr:twoCellAnchor>
  <xdr:twoCellAnchor>
    <xdr:from>
      <xdr:col>3</xdr:col>
      <xdr:colOff>226219</xdr:colOff>
      <xdr:row>19</xdr:row>
      <xdr:rowOff>95250</xdr:rowOff>
    </xdr:from>
    <xdr:to>
      <xdr:col>7</xdr:col>
      <xdr:colOff>73819</xdr:colOff>
      <xdr:row>20</xdr:row>
      <xdr:rowOff>104775</xdr:rowOff>
    </xdr:to>
    <xdr:sp macro="" textlink="">
      <xdr:nvSpPr>
        <xdr:cNvPr id="57" name="TextBox 56">
          <a:extLst>
            <a:ext uri="{FF2B5EF4-FFF2-40B4-BE49-F238E27FC236}">
              <a16:creationId xmlns:a16="http://schemas.microsoft.com/office/drawing/2014/main" id="{19643908-95C9-4F7C-82BF-3816A820A4E6}"/>
            </a:ext>
          </a:extLst>
        </xdr:cNvPr>
        <xdr:cNvSpPr txBox="1"/>
      </xdr:nvSpPr>
      <xdr:spPr>
        <a:xfrm>
          <a:off x="2047875" y="3714750"/>
          <a:ext cx="22764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baseline="0">
              <a:solidFill>
                <a:schemeClr val="bg2">
                  <a:lumMod val="50000"/>
                </a:schemeClr>
              </a:solidFill>
            </a:rPr>
            <a:t>Status Pelamar</a:t>
          </a:r>
          <a:endParaRPr lang="en-ID" sz="1400" b="1">
            <a:solidFill>
              <a:schemeClr val="bg2">
                <a:lumMod val="50000"/>
              </a:schemeClr>
            </a:solidFill>
          </a:endParaRPr>
        </a:p>
      </xdr:txBody>
    </xdr:sp>
    <xdr:clientData/>
  </xdr:twoCellAnchor>
  <xdr:twoCellAnchor>
    <xdr:from>
      <xdr:col>8</xdr:col>
      <xdr:colOff>509588</xdr:colOff>
      <xdr:row>19</xdr:row>
      <xdr:rowOff>80963</xdr:rowOff>
    </xdr:from>
    <xdr:to>
      <xdr:col>12</xdr:col>
      <xdr:colOff>357188</xdr:colOff>
      <xdr:row>20</xdr:row>
      <xdr:rowOff>90488</xdr:rowOff>
    </xdr:to>
    <xdr:sp macro="" textlink="">
      <xdr:nvSpPr>
        <xdr:cNvPr id="58" name="TextBox 57">
          <a:extLst>
            <a:ext uri="{FF2B5EF4-FFF2-40B4-BE49-F238E27FC236}">
              <a16:creationId xmlns:a16="http://schemas.microsoft.com/office/drawing/2014/main" id="{F9B6DF6B-BFDF-427F-8A72-EE145378F60A}"/>
            </a:ext>
          </a:extLst>
        </xdr:cNvPr>
        <xdr:cNvSpPr txBox="1"/>
      </xdr:nvSpPr>
      <xdr:spPr>
        <a:xfrm>
          <a:off x="5367338" y="3700463"/>
          <a:ext cx="22764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baseline="0">
              <a:solidFill>
                <a:schemeClr val="bg2">
                  <a:lumMod val="50000"/>
                </a:schemeClr>
              </a:solidFill>
            </a:rPr>
            <a:t>Jumlah Kandidat Per PIC HR</a:t>
          </a:r>
          <a:endParaRPr lang="en-ID" sz="1400" b="1">
            <a:solidFill>
              <a:schemeClr val="bg2">
                <a:lumMod val="50000"/>
              </a:schemeClr>
            </a:solidFill>
          </a:endParaRPr>
        </a:p>
      </xdr:txBody>
    </xdr:sp>
    <xdr:clientData/>
  </xdr:twoCellAnchor>
  <xdr:twoCellAnchor>
    <xdr:from>
      <xdr:col>2</xdr:col>
      <xdr:colOff>373856</xdr:colOff>
      <xdr:row>11</xdr:row>
      <xdr:rowOff>59531</xdr:rowOff>
    </xdr:from>
    <xdr:to>
      <xdr:col>7</xdr:col>
      <xdr:colOff>559594</xdr:colOff>
      <xdr:row>18</xdr:row>
      <xdr:rowOff>130969</xdr:rowOff>
    </xdr:to>
    <xdr:graphicFrame macro="">
      <xdr:nvGraphicFramePr>
        <xdr:cNvPr id="59" name="Chart 58">
          <a:extLst>
            <a:ext uri="{FF2B5EF4-FFF2-40B4-BE49-F238E27FC236}">
              <a16:creationId xmlns:a16="http://schemas.microsoft.com/office/drawing/2014/main" id="{B17352CF-9F90-43BF-A3D8-D18A47A16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68070</xdr:colOff>
      <xdr:row>11</xdr:row>
      <xdr:rowOff>28575</xdr:rowOff>
    </xdr:from>
    <xdr:to>
      <xdr:col>13</xdr:col>
      <xdr:colOff>257175</xdr:colOff>
      <xdr:row>18</xdr:row>
      <xdr:rowOff>114300</xdr:rowOff>
    </xdr:to>
    <xdr:graphicFrame macro="">
      <xdr:nvGraphicFramePr>
        <xdr:cNvPr id="60" name="Chart 59">
          <a:extLst>
            <a:ext uri="{FF2B5EF4-FFF2-40B4-BE49-F238E27FC236}">
              <a16:creationId xmlns:a16="http://schemas.microsoft.com/office/drawing/2014/main" id="{F4194B34-6F10-4A57-AF7E-C5A8B1142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395654</xdr:colOff>
      <xdr:row>20</xdr:row>
      <xdr:rowOff>117231</xdr:rowOff>
    </xdr:from>
    <xdr:to>
      <xdr:col>7</xdr:col>
      <xdr:colOff>578827</xdr:colOff>
      <xdr:row>28</xdr:row>
      <xdr:rowOff>29308</xdr:rowOff>
    </xdr:to>
    <xdr:graphicFrame macro="">
      <xdr:nvGraphicFramePr>
        <xdr:cNvPr id="63" name="Chart 62">
          <a:extLst>
            <a:ext uri="{FF2B5EF4-FFF2-40B4-BE49-F238E27FC236}">
              <a16:creationId xmlns:a16="http://schemas.microsoft.com/office/drawing/2014/main" id="{06B52222-82CC-42BB-9E22-B971D62B0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99826</xdr:colOff>
      <xdr:row>20</xdr:row>
      <xdr:rowOff>152400</xdr:rowOff>
    </xdr:from>
    <xdr:to>
      <xdr:col>13</xdr:col>
      <xdr:colOff>323849</xdr:colOff>
      <xdr:row>28</xdr:row>
      <xdr:rowOff>28575</xdr:rowOff>
    </xdr:to>
    <xdr:graphicFrame macro="">
      <xdr:nvGraphicFramePr>
        <xdr:cNvPr id="64" name="Chart 63">
          <a:extLst>
            <a:ext uri="{FF2B5EF4-FFF2-40B4-BE49-F238E27FC236}">
              <a16:creationId xmlns:a16="http://schemas.microsoft.com/office/drawing/2014/main" id="{73139292-A849-4E5D-96CC-FF184F45E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73269</xdr:colOff>
      <xdr:row>0</xdr:row>
      <xdr:rowOff>95246</xdr:rowOff>
    </xdr:from>
    <xdr:to>
      <xdr:col>2</xdr:col>
      <xdr:colOff>219809</xdr:colOff>
      <xdr:row>9</xdr:row>
      <xdr:rowOff>24423</xdr:rowOff>
    </xdr:to>
    <mc:AlternateContent xmlns:mc="http://schemas.openxmlformats.org/markup-compatibility/2006" xmlns:a14="http://schemas.microsoft.com/office/drawing/2010/main">
      <mc:Choice Requires="a14">
        <xdr:graphicFrame macro="">
          <xdr:nvGraphicFramePr>
            <xdr:cNvPr id="65" name="Departemen 1">
              <a:extLst>
                <a:ext uri="{FF2B5EF4-FFF2-40B4-BE49-F238E27FC236}">
                  <a16:creationId xmlns:a16="http://schemas.microsoft.com/office/drawing/2014/main" id="{EC6C0525-6650-4AF8-8F88-1F25343D3095}"/>
                </a:ext>
              </a:extLst>
            </xdr:cNvPr>
            <xdr:cNvGraphicFramePr/>
          </xdr:nvGraphicFramePr>
          <xdr:xfrm>
            <a:off x="0" y="0"/>
            <a:ext cx="0" cy="0"/>
          </xdr:xfrm>
          <a:graphic>
            <a:graphicData uri="http://schemas.microsoft.com/office/drawing/2010/slicer">
              <sle:slicer xmlns:sle="http://schemas.microsoft.com/office/drawing/2010/slicer" name="Departemen 1"/>
            </a:graphicData>
          </a:graphic>
        </xdr:graphicFrame>
      </mc:Choice>
      <mc:Fallback xmlns="">
        <xdr:sp macro="" textlink="">
          <xdr:nvSpPr>
            <xdr:cNvPr id="0" name=""/>
            <xdr:cNvSpPr>
              <a:spLocks noTextEdit="1"/>
            </xdr:cNvSpPr>
          </xdr:nvSpPr>
          <xdr:spPr>
            <a:xfrm>
              <a:off x="73269" y="95246"/>
              <a:ext cx="1367694" cy="16876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61058</xdr:colOff>
      <xdr:row>9</xdr:row>
      <xdr:rowOff>95249</xdr:rowOff>
    </xdr:from>
    <xdr:to>
      <xdr:col>2</xdr:col>
      <xdr:colOff>219808</xdr:colOff>
      <xdr:row>27</xdr:row>
      <xdr:rowOff>146538</xdr:rowOff>
    </xdr:to>
    <mc:AlternateContent xmlns:mc="http://schemas.openxmlformats.org/markup-compatibility/2006" xmlns:a14="http://schemas.microsoft.com/office/drawing/2010/main">
      <mc:Choice Requires="a14">
        <xdr:graphicFrame macro="">
          <xdr:nvGraphicFramePr>
            <xdr:cNvPr id="66" name="Status 1">
              <a:extLst>
                <a:ext uri="{FF2B5EF4-FFF2-40B4-BE49-F238E27FC236}">
                  <a16:creationId xmlns:a16="http://schemas.microsoft.com/office/drawing/2014/main" id="{CBD0FDEE-2C4E-4CE8-9093-833984147E9C}"/>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61058" y="1853711"/>
              <a:ext cx="1379904" cy="356821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fi" refreshedDate="46232.520780902778" createdVersion="7" refreshedVersion="7" minRefreshableVersion="3" recordCount="20" xr:uid="{9E09E3F1-929C-4A0A-9574-63866A7B0096}">
  <cacheSource type="worksheet">
    <worksheetSource name="Table2"/>
  </cacheSource>
  <cacheFields count="14">
    <cacheField name="No" numFmtId="0">
      <sharedItems containsSemiMixedTypes="0" containsString="0" containsNumber="1" containsInteger="1" minValue="1" maxValue="20"/>
    </cacheField>
    <cacheField name="ID Kandidat" numFmtId="0">
      <sharedItems count="20">
        <s v="K001"/>
        <s v="K002"/>
        <s v="K003"/>
        <s v="K004"/>
        <s v="K005"/>
        <s v="K006"/>
        <s v="K007"/>
        <s v="K008"/>
        <s v="K009"/>
        <s v="K010"/>
        <s v="K011"/>
        <s v="K012"/>
        <s v="K013"/>
        <s v="K014"/>
        <s v="K015"/>
        <s v="K016"/>
        <s v="K017"/>
        <s v="K018"/>
        <s v="K019"/>
        <s v="K020"/>
      </sharedItems>
    </cacheField>
    <cacheField name="Tanggal Masuk" numFmtId="164">
      <sharedItems containsSemiMixedTypes="0" containsNonDate="0" containsDate="1" containsString="0" minDate="2026-07-01T00:00:00" maxDate="2026-07-21T00:00:00"/>
    </cacheField>
    <cacheField name="Nama Kandidat" numFmtId="0">
      <sharedItems/>
    </cacheField>
    <cacheField name="Posisi Dilamar" numFmtId="0">
      <sharedItems count="3">
        <s v="HR Staff"/>
        <s v="Marketing Staff"/>
        <s v="Admin Finance"/>
      </sharedItems>
    </cacheField>
    <cacheField name="Departemen" numFmtId="0">
      <sharedItems count="3">
        <s v="HRD"/>
        <s v="Marketing"/>
        <s v="Finance"/>
      </sharedItems>
    </cacheField>
    <cacheField name="Sumber Lamaran" numFmtId="0">
      <sharedItems count="4">
        <s v="LinkedIn"/>
        <s v="Instagram"/>
        <s v="Glint"/>
        <s v="Jobstreet"/>
      </sharedItems>
    </cacheField>
    <cacheField name="PIC HR" numFmtId="0">
      <sharedItems count="3">
        <s v="Dimas"/>
        <s v="Angga"/>
        <s v="Wahyuni"/>
      </sharedItems>
    </cacheField>
    <cacheField name="Status" numFmtId="0">
      <sharedItems count="6">
        <s v="Baru Masuk"/>
        <s v="Interview HR"/>
        <s v="Screening"/>
        <s v="Interview User"/>
        <s v="Ditolak"/>
        <s v="Diterima"/>
      </sharedItems>
    </cacheField>
    <cacheField name="Tanggal Interview" numFmtId="164">
      <sharedItems containsNonDate="0" containsDate="1" containsString="0" containsBlank="1" minDate="2026-08-05T00:00:00" maxDate="2026-08-11T00:00:00"/>
    </cacheField>
    <cacheField name="Pewawancara" numFmtId="0">
      <sharedItems containsBlank="1"/>
    </cacheField>
    <cacheField name="Nilai Interview" numFmtId="0">
      <sharedItems containsString="0" containsBlank="1" containsNumber="1" containsInteger="1" minValue="50" maxValue="90"/>
    </cacheField>
    <cacheField name="Ekspektasi Gaji" numFmtId="3">
      <sharedItems containsSemiMixedTypes="0" containsString="0" containsNumber="1" containsInteger="1" minValue="4000000" maxValue="6000000"/>
    </cacheField>
    <cacheField name="Hasil Akhir" numFmtId="0">
      <sharedItems count="3">
        <s v="Diproses"/>
        <s v="Ditolak"/>
        <s v="Diterima"/>
      </sharedItems>
    </cacheField>
  </cacheFields>
  <extLst>
    <ext xmlns:x14="http://schemas.microsoft.com/office/spreadsheetml/2009/9/main" uri="{725AE2AE-9491-48be-B2B4-4EB974FC3084}">
      <x14:pivotCacheDefinition pivotCacheId="1217195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d v="2026-07-01T00:00:00"/>
    <s v="Bagas Nugroho"/>
    <x v="0"/>
    <x v="0"/>
    <x v="0"/>
    <x v="0"/>
    <x v="0"/>
    <m/>
    <m/>
    <m/>
    <n v="4500000"/>
    <x v="0"/>
  </r>
  <r>
    <n v="2"/>
    <x v="1"/>
    <d v="2026-07-02T00:00:00"/>
    <s v="Imam Arifin"/>
    <x v="1"/>
    <x v="1"/>
    <x v="1"/>
    <x v="1"/>
    <x v="1"/>
    <d v="2026-08-05T00:00:00"/>
    <s v="Dwi"/>
    <n v="85"/>
    <n v="4000000"/>
    <x v="0"/>
  </r>
  <r>
    <n v="3"/>
    <x v="2"/>
    <d v="2026-07-03T00:00:00"/>
    <s v="Syahrul Amin"/>
    <x v="2"/>
    <x v="2"/>
    <x v="2"/>
    <x v="0"/>
    <x v="2"/>
    <m/>
    <m/>
    <m/>
    <n v="5000000"/>
    <x v="0"/>
  </r>
  <r>
    <n v="4"/>
    <x v="3"/>
    <d v="2026-07-04T00:00:00"/>
    <s v="Nuga Tirtayasa"/>
    <x v="2"/>
    <x v="2"/>
    <x v="1"/>
    <x v="1"/>
    <x v="3"/>
    <d v="2026-08-08T00:00:00"/>
    <s v="Rahma"/>
    <n v="90"/>
    <n v="4800000"/>
    <x v="0"/>
  </r>
  <r>
    <n v="5"/>
    <x v="4"/>
    <d v="2026-07-05T00:00:00"/>
    <s v="Lukman Hakim"/>
    <x v="0"/>
    <x v="0"/>
    <x v="1"/>
    <x v="0"/>
    <x v="4"/>
    <m/>
    <m/>
    <m/>
    <n v="5000000"/>
    <x v="1"/>
  </r>
  <r>
    <n v="6"/>
    <x v="5"/>
    <d v="2026-07-06T00:00:00"/>
    <s v="Risa Ayu Putri"/>
    <x v="2"/>
    <x v="2"/>
    <x v="2"/>
    <x v="1"/>
    <x v="3"/>
    <d v="2026-08-08T00:00:00"/>
    <s v="Rahma"/>
    <n v="80"/>
    <n v="6000000"/>
    <x v="0"/>
  </r>
  <r>
    <n v="7"/>
    <x v="6"/>
    <d v="2026-07-07T00:00:00"/>
    <s v="Hamid Abdullah"/>
    <x v="0"/>
    <x v="0"/>
    <x v="0"/>
    <x v="0"/>
    <x v="0"/>
    <m/>
    <m/>
    <m/>
    <n v="4000000"/>
    <x v="0"/>
  </r>
  <r>
    <n v="8"/>
    <x v="7"/>
    <d v="2026-07-08T00:00:00"/>
    <s v="Erna Dwi Fitria"/>
    <x v="2"/>
    <x v="2"/>
    <x v="3"/>
    <x v="1"/>
    <x v="5"/>
    <m/>
    <m/>
    <m/>
    <n v="5000000"/>
    <x v="2"/>
  </r>
  <r>
    <n v="9"/>
    <x v="8"/>
    <d v="2026-07-09T00:00:00"/>
    <s v="Muklis Wahyu Adi"/>
    <x v="0"/>
    <x v="0"/>
    <x v="0"/>
    <x v="0"/>
    <x v="5"/>
    <m/>
    <m/>
    <m/>
    <n v="4500000"/>
    <x v="2"/>
  </r>
  <r>
    <n v="10"/>
    <x v="9"/>
    <d v="2026-07-10T00:00:00"/>
    <s v="Bambang Wicaksono"/>
    <x v="1"/>
    <x v="1"/>
    <x v="2"/>
    <x v="2"/>
    <x v="4"/>
    <m/>
    <m/>
    <m/>
    <n v="6000000"/>
    <x v="1"/>
  </r>
  <r>
    <n v="11"/>
    <x v="10"/>
    <d v="2026-07-11T00:00:00"/>
    <s v="Wahyu Adi"/>
    <x v="1"/>
    <x v="1"/>
    <x v="0"/>
    <x v="2"/>
    <x v="1"/>
    <d v="2026-08-05T00:00:00"/>
    <s v="Dwi"/>
    <n v="75"/>
    <n v="4800000"/>
    <x v="0"/>
  </r>
  <r>
    <n v="12"/>
    <x v="11"/>
    <d v="2026-07-12T00:00:00"/>
    <s v="Riska Putri"/>
    <x v="2"/>
    <x v="2"/>
    <x v="1"/>
    <x v="1"/>
    <x v="3"/>
    <d v="2026-08-10T00:00:00"/>
    <s v="Rini"/>
    <n v="80"/>
    <n v="5000000"/>
    <x v="0"/>
  </r>
  <r>
    <n v="13"/>
    <x v="12"/>
    <d v="2026-07-13T00:00:00"/>
    <s v="Salma Tri Utami"/>
    <x v="2"/>
    <x v="2"/>
    <x v="3"/>
    <x v="1"/>
    <x v="1"/>
    <d v="2026-08-05T00:00:00"/>
    <s v="Dwi"/>
    <n v="50"/>
    <n v="4500000"/>
    <x v="0"/>
  </r>
  <r>
    <n v="14"/>
    <x v="13"/>
    <d v="2026-07-14T00:00:00"/>
    <s v="Gunawan Bakti"/>
    <x v="1"/>
    <x v="1"/>
    <x v="2"/>
    <x v="2"/>
    <x v="0"/>
    <m/>
    <m/>
    <m/>
    <n v="5000000"/>
    <x v="0"/>
  </r>
  <r>
    <n v="15"/>
    <x v="14"/>
    <d v="2026-07-15T00:00:00"/>
    <s v="Putra Bagus Setiawan"/>
    <x v="2"/>
    <x v="2"/>
    <x v="0"/>
    <x v="0"/>
    <x v="5"/>
    <m/>
    <m/>
    <m/>
    <n v="5000000"/>
    <x v="2"/>
  </r>
  <r>
    <n v="16"/>
    <x v="15"/>
    <d v="2026-07-16T00:00:00"/>
    <s v="Jajang Mulyana"/>
    <x v="0"/>
    <x v="0"/>
    <x v="1"/>
    <x v="1"/>
    <x v="3"/>
    <d v="2026-08-05T00:00:00"/>
    <s v="Andi"/>
    <n v="90"/>
    <n v="4500000"/>
    <x v="0"/>
  </r>
  <r>
    <n v="17"/>
    <x v="16"/>
    <d v="2026-07-17T00:00:00"/>
    <s v="Hendro Waskito"/>
    <x v="1"/>
    <x v="1"/>
    <x v="2"/>
    <x v="2"/>
    <x v="3"/>
    <d v="2026-08-05T00:00:00"/>
    <s v="Sandi"/>
    <n v="80"/>
    <n v="6000000"/>
    <x v="0"/>
  </r>
  <r>
    <n v="18"/>
    <x v="17"/>
    <d v="2026-07-18T00:00:00"/>
    <s v="Danang Gustian"/>
    <x v="0"/>
    <x v="0"/>
    <x v="0"/>
    <x v="2"/>
    <x v="0"/>
    <m/>
    <m/>
    <m/>
    <n v="4500000"/>
    <x v="0"/>
  </r>
  <r>
    <n v="19"/>
    <x v="18"/>
    <d v="2026-07-19T00:00:00"/>
    <s v="Wakhid Amirudin"/>
    <x v="0"/>
    <x v="0"/>
    <x v="1"/>
    <x v="0"/>
    <x v="1"/>
    <d v="2026-08-10T00:00:00"/>
    <s v="Dwi"/>
    <n v="85"/>
    <n v="5000000"/>
    <x v="0"/>
  </r>
  <r>
    <n v="20"/>
    <x v="19"/>
    <d v="2026-07-20T00:00:00"/>
    <s v="Intan Fatika Rahma"/>
    <x v="2"/>
    <x v="2"/>
    <x v="2"/>
    <x v="1"/>
    <x v="1"/>
    <d v="2026-08-10T00:00:00"/>
    <s v="Dwi"/>
    <n v="90"/>
    <n v="4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9DCEA0-8029-49F0-9076-3E28A027376D}" name="PivotTable18" cacheId="0" applyNumberFormats="0" applyBorderFormats="0" applyFontFormats="0" applyPatternFormats="0" applyAlignmentFormats="0" applyWidthHeightFormats="1" dataCaption="Values" grandTotalCaption="Total" updatedVersion="7" minRefreshableVersion="3" itemPrintTitles="1" createdVersion="7" indent="0" outline="1" outlineData="1" multipleFieldFilters="0" chartFormat="3" rowHeaderCaption="">
  <location ref="A17:B21" firstHeaderRow="1" firstDataRow="1" firstDataCol="1"/>
  <pivotFields count="14">
    <pivotField showAll="0"/>
    <pivotField showAll="0">
      <items count="21">
        <item x="0"/>
        <item x="1"/>
        <item x="2"/>
        <item x="3"/>
        <item x="4"/>
        <item x="5"/>
        <item x="6"/>
        <item x="7"/>
        <item x="8"/>
        <item x="9"/>
        <item x="10"/>
        <item x="11"/>
        <item x="12"/>
        <item x="13"/>
        <item x="14"/>
        <item x="15"/>
        <item x="16"/>
        <item x="17"/>
        <item x="18"/>
        <item x="19"/>
        <item t="default"/>
      </items>
    </pivotField>
    <pivotField numFmtId="164" showAll="0"/>
    <pivotField dataField="1" showAll="0"/>
    <pivotField showAll="0">
      <items count="4">
        <item x="2"/>
        <item x="0"/>
        <item x="1"/>
        <item t="default"/>
      </items>
    </pivotField>
    <pivotField showAll="0">
      <items count="4">
        <item x="2"/>
        <item x="0"/>
        <item x="1"/>
        <item t="default"/>
      </items>
    </pivotField>
    <pivotField showAll="0">
      <items count="5">
        <item x="2"/>
        <item x="1"/>
        <item x="3"/>
        <item x="0"/>
        <item t="default"/>
      </items>
    </pivotField>
    <pivotField axis="axisRow" showAll="0" sortType="descending">
      <items count="4">
        <item x="2"/>
        <item x="0"/>
        <item x="1"/>
        <item t="default"/>
      </items>
    </pivotField>
    <pivotField showAll="0">
      <items count="7">
        <item x="0"/>
        <item x="5"/>
        <item x="4"/>
        <item x="1"/>
        <item x="3"/>
        <item x="2"/>
        <item t="default"/>
      </items>
    </pivotField>
    <pivotField showAll="0"/>
    <pivotField showAll="0"/>
    <pivotField showAll="0"/>
    <pivotField numFmtId="3" showAll="0"/>
    <pivotField showAll="0">
      <items count="4">
        <item x="0"/>
        <item x="2"/>
        <item x="1"/>
        <item t="default"/>
      </items>
    </pivotField>
  </pivotFields>
  <rowFields count="1">
    <field x="7"/>
  </rowFields>
  <rowItems count="4">
    <i>
      <x/>
    </i>
    <i>
      <x v="1"/>
    </i>
    <i>
      <x v="2"/>
    </i>
    <i t="grand">
      <x/>
    </i>
  </rowItems>
  <colItems count="1">
    <i/>
  </colItems>
  <dataFields count="1">
    <dataField name="Count of Nama Kandidat" fld="3" subtotal="count"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25B06B-BA00-4DC8-9045-53EA871D1B7B}" name="PivotTable15" cacheId="0"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chartFormat="7" rowHeaderCaption="">
  <location ref="J10:K17" firstHeaderRow="1" firstDataRow="1" firstDataCol="1"/>
  <pivotFields count="14">
    <pivotField showAll="0"/>
    <pivotField showAll="0">
      <items count="21">
        <item x="0"/>
        <item x="1"/>
        <item x="2"/>
        <item x="3"/>
        <item x="4"/>
        <item x="5"/>
        <item x="6"/>
        <item x="7"/>
        <item x="8"/>
        <item x="9"/>
        <item x="10"/>
        <item x="11"/>
        <item x="12"/>
        <item x="13"/>
        <item x="14"/>
        <item x="15"/>
        <item x="16"/>
        <item x="17"/>
        <item x="18"/>
        <item x="19"/>
        <item t="default"/>
      </items>
    </pivotField>
    <pivotField numFmtId="164" showAll="0"/>
    <pivotField dataField="1" showAll="0"/>
    <pivotField showAll="0"/>
    <pivotField showAll="0">
      <items count="4">
        <item x="2"/>
        <item x="0"/>
        <item x="1"/>
        <item t="default"/>
      </items>
    </pivotField>
    <pivotField showAll="0">
      <items count="5">
        <item x="2"/>
        <item x="1"/>
        <item x="3"/>
        <item x="0"/>
        <item t="default"/>
      </items>
    </pivotField>
    <pivotField showAll="0"/>
    <pivotField axis="axisRow" showAll="0">
      <items count="7">
        <item x="0"/>
        <item x="5"/>
        <item x="4"/>
        <item x="1"/>
        <item x="3"/>
        <item x="2"/>
        <item t="default"/>
      </items>
    </pivotField>
    <pivotField showAll="0"/>
    <pivotField showAll="0"/>
    <pivotField showAll="0"/>
    <pivotField numFmtId="3" showAll="0"/>
    <pivotField showAll="0">
      <items count="4">
        <item x="0"/>
        <item x="2"/>
        <item x="1"/>
        <item t="default"/>
      </items>
    </pivotField>
  </pivotFields>
  <rowFields count="1">
    <field x="8"/>
  </rowFields>
  <rowItems count="7">
    <i>
      <x/>
    </i>
    <i>
      <x v="1"/>
    </i>
    <i>
      <x v="2"/>
    </i>
    <i>
      <x v="3"/>
    </i>
    <i>
      <x v="4"/>
    </i>
    <i>
      <x v="5"/>
    </i>
    <i t="grand">
      <x/>
    </i>
  </rowItems>
  <colItems count="1">
    <i/>
  </colItems>
  <dataFields count="1">
    <dataField name="Count of Nama Kandidat" fld="3" subtotal="count" baseField="0" baseItem="0"/>
  </dataFields>
  <chartFormats count="7">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8" count="1" selected="0">
            <x v="0"/>
          </reference>
        </references>
      </pivotArea>
    </chartFormat>
    <chartFormat chart="6" format="4">
      <pivotArea type="data" outline="0" fieldPosition="0">
        <references count="2">
          <reference field="4294967294" count="1" selected="0">
            <x v="0"/>
          </reference>
          <reference field="8" count="1" selected="0">
            <x v="1"/>
          </reference>
        </references>
      </pivotArea>
    </chartFormat>
    <chartFormat chart="6" format="5">
      <pivotArea type="data" outline="0" fieldPosition="0">
        <references count="2">
          <reference field="4294967294" count="1" selected="0">
            <x v="0"/>
          </reference>
          <reference field="8" count="1" selected="0">
            <x v="2"/>
          </reference>
        </references>
      </pivotArea>
    </chartFormat>
    <chartFormat chart="6" format="6">
      <pivotArea type="data" outline="0" fieldPosition="0">
        <references count="2">
          <reference field="4294967294" count="1" selected="0">
            <x v="0"/>
          </reference>
          <reference field="8" count="1" selected="0">
            <x v="3"/>
          </reference>
        </references>
      </pivotArea>
    </chartFormat>
    <chartFormat chart="6" format="7">
      <pivotArea type="data" outline="0" fieldPosition="0">
        <references count="2">
          <reference field="4294967294" count="1" selected="0">
            <x v="0"/>
          </reference>
          <reference field="8" count="1" selected="0">
            <x v="4"/>
          </reference>
        </references>
      </pivotArea>
    </chartFormat>
    <chartFormat chart="6" format="8">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021625-A55F-4BEE-8DAC-C0F481DE33B8}" name="PivotTable13" cacheId="0"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chartFormat="3" rowHeaderCaption="">
  <location ref="G10:H14" firstHeaderRow="1" firstDataRow="1" firstDataCol="1"/>
  <pivotFields count="14">
    <pivotField showAll="0"/>
    <pivotField showAll="0">
      <items count="21">
        <item x="0"/>
        <item x="1"/>
        <item x="2"/>
        <item x="3"/>
        <item x="4"/>
        <item x="5"/>
        <item x="6"/>
        <item x="7"/>
        <item x="8"/>
        <item x="9"/>
        <item x="10"/>
        <item x="11"/>
        <item x="12"/>
        <item x="13"/>
        <item x="14"/>
        <item x="15"/>
        <item x="16"/>
        <item x="17"/>
        <item x="18"/>
        <item x="19"/>
        <item t="default"/>
      </items>
    </pivotField>
    <pivotField numFmtId="164" showAll="0"/>
    <pivotField dataField="1" showAll="0"/>
    <pivotField showAll="0"/>
    <pivotField axis="axisRow" showAll="0">
      <items count="4">
        <item x="2"/>
        <item x="0"/>
        <item x="1"/>
        <item t="default"/>
      </items>
    </pivotField>
    <pivotField showAll="0">
      <items count="5">
        <item x="2"/>
        <item x="1"/>
        <item x="3"/>
        <item x="0"/>
        <item t="default"/>
      </items>
    </pivotField>
    <pivotField showAll="0"/>
    <pivotField showAll="0">
      <items count="7">
        <item x="0"/>
        <item x="5"/>
        <item x="4"/>
        <item x="1"/>
        <item x="3"/>
        <item x="2"/>
        <item t="default"/>
      </items>
    </pivotField>
    <pivotField showAll="0"/>
    <pivotField showAll="0"/>
    <pivotField showAll="0"/>
    <pivotField numFmtId="3" showAll="0"/>
    <pivotField showAll="0">
      <items count="4">
        <item x="0"/>
        <item x="2"/>
        <item x="1"/>
        <item t="default"/>
      </items>
    </pivotField>
  </pivotFields>
  <rowFields count="1">
    <field x="5"/>
  </rowFields>
  <rowItems count="4">
    <i>
      <x/>
    </i>
    <i>
      <x v="1"/>
    </i>
    <i>
      <x v="2"/>
    </i>
    <i t="grand">
      <x/>
    </i>
  </rowItems>
  <colItems count="1">
    <i/>
  </colItems>
  <dataFields count="1">
    <dataField name="Count of Nama Kandidat" fld="3" subtotal="count"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 chart="2" format="4">
      <pivotArea type="data" outline="0" fieldPosition="0">
        <references count="2">
          <reference field="4294967294" count="1" selected="0">
            <x v="0"/>
          </reference>
          <reference field="5" count="1" selected="0">
            <x v="1"/>
          </reference>
        </references>
      </pivotArea>
    </chartFormat>
    <chartFormat chart="2" format="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39795F-1B9B-46E4-AF5B-48012AF448A9}" name="PivotTable12" cacheId="0"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chartFormat="4" rowHeaderCaption="">
  <location ref="D10:E15" firstHeaderRow="1" firstDataRow="1" firstDataCol="1"/>
  <pivotFields count="14">
    <pivotField showAll="0"/>
    <pivotField showAll="0">
      <items count="21">
        <item x="0"/>
        <item x="1"/>
        <item x="2"/>
        <item x="3"/>
        <item x="4"/>
        <item x="5"/>
        <item x="6"/>
        <item x="7"/>
        <item x="8"/>
        <item x="9"/>
        <item x="10"/>
        <item x="11"/>
        <item x="12"/>
        <item x="13"/>
        <item x="14"/>
        <item x="15"/>
        <item x="16"/>
        <item x="17"/>
        <item x="18"/>
        <item x="19"/>
        <item t="default"/>
      </items>
    </pivotField>
    <pivotField numFmtId="164" showAll="0"/>
    <pivotField dataField="1" showAll="0"/>
    <pivotField showAll="0"/>
    <pivotField showAll="0">
      <items count="4">
        <item x="2"/>
        <item x="0"/>
        <item x="1"/>
        <item t="default"/>
      </items>
    </pivotField>
    <pivotField axis="axisRow" showAll="0">
      <items count="5">
        <item x="2"/>
        <item x="1"/>
        <item x="3"/>
        <item x="0"/>
        <item t="default"/>
      </items>
    </pivotField>
    <pivotField showAll="0"/>
    <pivotField showAll="0">
      <items count="7">
        <item x="0"/>
        <item x="5"/>
        <item x="4"/>
        <item x="1"/>
        <item x="3"/>
        <item x="2"/>
        <item t="default"/>
      </items>
    </pivotField>
    <pivotField showAll="0"/>
    <pivotField showAll="0"/>
    <pivotField showAll="0"/>
    <pivotField numFmtId="3" showAll="0"/>
    <pivotField showAll="0">
      <items count="4">
        <item x="0"/>
        <item x="2"/>
        <item x="1"/>
        <item t="default"/>
      </items>
    </pivotField>
  </pivotFields>
  <rowFields count="1">
    <field x="6"/>
  </rowFields>
  <rowItems count="5">
    <i>
      <x/>
    </i>
    <i>
      <x v="1"/>
    </i>
    <i>
      <x v="2"/>
    </i>
    <i>
      <x v="3"/>
    </i>
    <i t="grand">
      <x/>
    </i>
  </rowItems>
  <colItems count="1">
    <i/>
  </colItems>
  <dataFields count="1">
    <dataField name="Count of Nama Kandidat" fld="3" subtotal="count" baseField="0" baseItem="0"/>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3"/>
          </reference>
        </references>
      </pivotArea>
    </chartFormat>
    <chartFormat chart="3" format="4">
      <pivotArea type="data" outline="0" fieldPosition="0">
        <references count="2">
          <reference field="4294967294" count="1" selected="0">
            <x v="0"/>
          </reference>
          <reference field="6" count="1" selected="0">
            <x v="2"/>
          </reference>
        </references>
      </pivotArea>
    </chartFormat>
    <chartFormat chart="3" format="5">
      <pivotArea type="data" outline="0" fieldPosition="0">
        <references count="2">
          <reference field="4294967294" count="1" selected="0">
            <x v="0"/>
          </reference>
          <reference field="6" count="1" selected="0">
            <x v="1"/>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1ACD48-0584-4E37-938A-CAB9C7EE7FA5}" name="PivotTable3" cacheId="0"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rowHeaderCaption="KPI">
  <location ref="A10:B14" firstHeaderRow="1" firstDataRow="1" firstDataCol="1"/>
  <pivotFields count="14">
    <pivotField showAll="0"/>
    <pivotField dataField="1" showAll="0">
      <items count="21">
        <item x="0"/>
        <item x="1"/>
        <item x="2"/>
        <item x="3"/>
        <item x="4"/>
        <item x="5"/>
        <item x="6"/>
        <item x="7"/>
        <item x="8"/>
        <item x="9"/>
        <item x="10"/>
        <item x="11"/>
        <item x="12"/>
        <item x="13"/>
        <item x="14"/>
        <item x="15"/>
        <item x="16"/>
        <item x="17"/>
        <item x="18"/>
        <item x="19"/>
        <item t="default"/>
      </items>
    </pivotField>
    <pivotField numFmtId="164" showAll="0"/>
    <pivotField showAll="0"/>
    <pivotField showAll="0"/>
    <pivotField showAll="0">
      <items count="4">
        <item x="2"/>
        <item x="0"/>
        <item x="1"/>
        <item t="default"/>
      </items>
    </pivotField>
    <pivotField showAll="0"/>
    <pivotField showAll="0"/>
    <pivotField showAll="0">
      <items count="7">
        <item x="0"/>
        <item x="5"/>
        <item x="4"/>
        <item x="1"/>
        <item x="3"/>
        <item x="2"/>
        <item t="default"/>
      </items>
    </pivotField>
    <pivotField showAll="0"/>
    <pivotField showAll="0"/>
    <pivotField showAll="0"/>
    <pivotField numFmtId="3" showAll="0"/>
    <pivotField axis="axisRow" showAll="0">
      <items count="4">
        <item x="0"/>
        <item x="2"/>
        <item x="1"/>
        <item t="default"/>
      </items>
    </pivotField>
  </pivotFields>
  <rowFields count="1">
    <field x="13"/>
  </rowFields>
  <rowItems count="4">
    <i>
      <x/>
    </i>
    <i>
      <x v="1"/>
    </i>
    <i>
      <x v="2"/>
    </i>
    <i t="grand">
      <x/>
    </i>
  </rowItems>
  <colItems count="1">
    <i/>
  </colItems>
  <dataFields count="1">
    <dataField name="Kandidat" fld="1"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emen" xr10:uid="{246441D1-3D46-40CC-8281-90D89B845683}" sourceName="Departemen">
  <pivotTables>
    <pivotTable tabId="5" name="PivotTable15"/>
    <pivotTable tabId="5" name="PivotTable12"/>
    <pivotTable tabId="5" name="PivotTable13"/>
    <pivotTable tabId="5" name="PivotTable3"/>
    <pivotTable tabId="5" name="PivotTable18"/>
  </pivotTables>
  <data>
    <tabular pivotCacheId="121719555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0C44F9C-DBAC-457E-ABBD-8F58828A3E4A}" sourceName="Status">
  <pivotTables>
    <pivotTable tabId="5" name="PivotTable13"/>
    <pivotTable tabId="5" name="PivotTable18"/>
    <pivotTable tabId="5" name="PivotTable3"/>
    <pivotTable tabId="5" name="PivotTable15"/>
    <pivotTable tabId="5" name="PivotTable12"/>
  </pivotTables>
  <data>
    <tabular pivotCacheId="1217195553">
      <items count="6">
        <i x="0" s="1"/>
        <i x="5"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emen 1" xr10:uid="{81F20E6F-D986-43EB-A757-45702B2A1CFD}" cache="Slicer_Departemen" caption="Departemen" style="Slicer Style 1" rowHeight="241300"/>
  <slicer name="Status 1" xr10:uid="{B807F06C-B308-40CB-B518-7C77F733B0AA}" cache="Slicer_Status" caption="Status"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C6E132-3CF3-4149-9341-DC3CC484FB00}" name="Table2" displayName="Table2" ref="A1:N21" totalsRowShown="0">
  <autoFilter ref="A1:N21" xr:uid="{B4C6E132-3CF3-4149-9341-DC3CC484FB00}"/>
  <tableColumns count="14">
    <tableColumn id="1" xr3:uid="{A7431CB4-FDC9-4AAC-AAFF-0622C8C0721B}" name="No" dataDxfId="4"/>
    <tableColumn id="2" xr3:uid="{B4F9706B-378E-4AE9-A252-24E57820E2F4}" name="ID Kandidat" dataDxfId="3"/>
    <tableColumn id="3" xr3:uid="{9FDE86D9-FCF0-48F8-AF20-427DE7E0E91D}" name="Tanggal Masuk" dataDxfId="2"/>
    <tableColumn id="4" xr3:uid="{19CAB98F-A9B9-44EB-9541-5E364C8AF10A}" name="Nama Kandidat"/>
    <tableColumn id="5" xr3:uid="{97AFACF5-0718-4D52-B27F-EA214BD34EA5}" name="Posisi Dilamar"/>
    <tableColumn id="15" xr3:uid="{AF290006-7D33-4272-A2C1-9189498BF45F}" name="Departemen"/>
    <tableColumn id="7" xr3:uid="{BA5C746B-BA6B-4803-ABDB-4CB39FABF070}" name="Sumber Lamaran"/>
    <tableColumn id="8" xr3:uid="{4FDFB82E-F137-4102-8187-B3401A566EC1}" name="PIC HR"/>
    <tableColumn id="9" xr3:uid="{FCFF4245-069E-49A0-9179-D91F320E3115}" name="Status"/>
    <tableColumn id="10" xr3:uid="{A17FE5DC-3776-412F-A02D-2518C16E415F}" name="Tanggal Interview" dataDxfId="1"/>
    <tableColumn id="11" xr3:uid="{B70BDEA1-8848-4AD0-AEB9-B3EB5BA4EE91}" name="Pewawancara"/>
    <tableColumn id="12" xr3:uid="{5FCEA690-36DA-4D27-B136-51532E66B736}" name="Nilai Interview"/>
    <tableColumn id="13" xr3:uid="{D6869553-CFC5-4229-9B01-22A2198604B6}" name="Ekspektasi Gaji" dataDxfId="0"/>
    <tableColumn id="14" xr3:uid="{95A43FAF-8021-44D1-A1AD-72BE468E7EB6}" name="Hasil Akhir">
      <calculatedColumnFormula>IF(I2="Diterima","Diterima",IF(I2="Ditolak","Ditolak","Diproses"))</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930E9-CF32-4FB1-8EF3-4F681ED7CD48}">
  <sheetPr codeName="Sheet1"/>
  <dimension ref="A1:N21"/>
  <sheetViews>
    <sheetView zoomScale="85" zoomScaleNormal="85" workbookViewId="0">
      <pane ySplit="1" topLeftCell="A2" activePane="bottomLeft" state="frozen"/>
      <selection pane="bottomLeft" activeCell="E24" sqref="E24"/>
    </sheetView>
  </sheetViews>
  <sheetFormatPr defaultRowHeight="15" x14ac:dyDescent="0.25"/>
  <cols>
    <col min="1" max="1" width="8.85546875" style="2" bestFit="1" customWidth="1"/>
    <col min="2" max="2" width="16.28515625" style="2" bestFit="1" customWidth="1"/>
    <col min="3" max="3" width="16.5703125" style="3" bestFit="1" customWidth="1"/>
    <col min="4" max="4" width="21.28515625" bestFit="1" customWidth="1"/>
    <col min="5" max="5" width="15.85546875" bestFit="1" customWidth="1"/>
    <col min="6" max="6" width="14.42578125" bestFit="1" customWidth="1"/>
    <col min="7" max="7" width="18.140625" bestFit="1" customWidth="1"/>
    <col min="8" max="8" width="9.42578125" bestFit="1" customWidth="1"/>
    <col min="9" max="9" width="14.5703125" bestFit="1" customWidth="1"/>
    <col min="10" max="10" width="19.140625" style="3" bestFit="1" customWidth="1"/>
    <col min="11" max="11" width="15.5703125" bestFit="1" customWidth="1"/>
    <col min="12" max="12" width="16.5703125" bestFit="1" customWidth="1"/>
    <col min="13" max="13" width="16.7109375" bestFit="1" customWidth="1"/>
    <col min="14" max="14" width="12.85546875" bestFit="1" customWidth="1"/>
  </cols>
  <sheetData>
    <row r="1" spans="1:14" x14ac:dyDescent="0.25">
      <c r="A1" s="2" t="s">
        <v>30</v>
      </c>
      <c r="B1" s="2" t="s">
        <v>0</v>
      </c>
      <c r="C1" s="3" t="s">
        <v>1</v>
      </c>
      <c r="D1" t="s">
        <v>2</v>
      </c>
      <c r="E1" t="s">
        <v>6</v>
      </c>
      <c r="F1" t="s">
        <v>4</v>
      </c>
      <c r="G1" t="s">
        <v>7</v>
      </c>
      <c r="H1" t="s">
        <v>8</v>
      </c>
      <c r="I1" t="s">
        <v>9</v>
      </c>
      <c r="J1" s="3" t="s">
        <v>63</v>
      </c>
      <c r="K1" t="s">
        <v>64</v>
      </c>
      <c r="L1" t="s">
        <v>65</v>
      </c>
      <c r="M1" t="s">
        <v>66</v>
      </c>
      <c r="N1" t="s">
        <v>74</v>
      </c>
    </row>
    <row r="2" spans="1:14" x14ac:dyDescent="0.25">
      <c r="A2" s="2">
        <v>1</v>
      </c>
      <c r="B2" s="2" t="s">
        <v>10</v>
      </c>
      <c r="C2" s="3">
        <v>46204</v>
      </c>
      <c r="D2" t="s">
        <v>20</v>
      </c>
      <c r="E2" t="s">
        <v>77</v>
      </c>
      <c r="F2" t="s">
        <v>52</v>
      </c>
      <c r="G2" t="s">
        <v>54</v>
      </c>
      <c r="H2" t="s">
        <v>57</v>
      </c>
      <c r="I2" t="s">
        <v>60</v>
      </c>
      <c r="M2" s="1">
        <v>4500000</v>
      </c>
      <c r="N2" t="str">
        <f>IF(I2="Diterima","Diterima",IF(I2="Ditolak","Ditolak","Diproses"))</f>
        <v>Diproses</v>
      </c>
    </row>
    <row r="3" spans="1:14" x14ac:dyDescent="0.25">
      <c r="A3" s="2">
        <v>2</v>
      </c>
      <c r="B3" s="2" t="s">
        <v>11</v>
      </c>
      <c r="C3" s="3">
        <v>46205</v>
      </c>
      <c r="D3" t="s">
        <v>21</v>
      </c>
      <c r="E3" t="s">
        <v>78</v>
      </c>
      <c r="F3" t="s">
        <v>53</v>
      </c>
      <c r="G3" t="s">
        <v>55</v>
      </c>
      <c r="H3" t="s">
        <v>58</v>
      </c>
      <c r="I3" t="s">
        <v>67</v>
      </c>
      <c r="J3" s="3">
        <v>46239</v>
      </c>
      <c r="K3" t="s">
        <v>69</v>
      </c>
      <c r="L3">
        <v>85</v>
      </c>
      <c r="M3" s="1">
        <v>4000000</v>
      </c>
      <c r="N3" t="str">
        <f t="shared" ref="N3:N21" si="0">IF(I3="Diterima","Diterima",IF(I3="Ditolak","Ditolak","Diproses"))</f>
        <v>Diproses</v>
      </c>
    </row>
    <row r="4" spans="1:14" x14ac:dyDescent="0.25">
      <c r="A4" s="2">
        <v>3</v>
      </c>
      <c r="B4" s="2" t="s">
        <v>12</v>
      </c>
      <c r="C4" s="3">
        <v>46206</v>
      </c>
      <c r="D4" t="s">
        <v>22</v>
      </c>
      <c r="E4" t="s">
        <v>51</v>
      </c>
      <c r="F4" t="s">
        <v>76</v>
      </c>
      <c r="G4" t="s">
        <v>56</v>
      </c>
      <c r="H4" t="s">
        <v>57</v>
      </c>
      <c r="I4" t="s">
        <v>61</v>
      </c>
      <c r="M4" s="1">
        <v>5000000</v>
      </c>
      <c r="N4" t="str">
        <f t="shared" si="0"/>
        <v>Diproses</v>
      </c>
    </row>
    <row r="5" spans="1:14" x14ac:dyDescent="0.25">
      <c r="A5" s="2">
        <v>4</v>
      </c>
      <c r="B5" s="2" t="s">
        <v>13</v>
      </c>
      <c r="C5" s="3">
        <v>46207</v>
      </c>
      <c r="D5" t="s">
        <v>23</v>
      </c>
      <c r="E5" t="s">
        <v>51</v>
      </c>
      <c r="F5" t="s">
        <v>76</v>
      </c>
      <c r="G5" t="s">
        <v>55</v>
      </c>
      <c r="H5" t="s">
        <v>58</v>
      </c>
      <c r="I5" t="s">
        <v>68</v>
      </c>
      <c r="J5" s="3">
        <v>46242</v>
      </c>
      <c r="K5" t="s">
        <v>70</v>
      </c>
      <c r="L5">
        <v>90</v>
      </c>
      <c r="M5" s="1">
        <v>4800000</v>
      </c>
      <c r="N5" t="str">
        <f t="shared" si="0"/>
        <v>Diproses</v>
      </c>
    </row>
    <row r="6" spans="1:14" x14ac:dyDescent="0.25">
      <c r="A6" s="2">
        <v>5</v>
      </c>
      <c r="B6" s="2" t="s">
        <v>14</v>
      </c>
      <c r="C6" s="3">
        <v>46208</v>
      </c>
      <c r="D6" t="s">
        <v>24</v>
      </c>
      <c r="E6" t="s">
        <v>77</v>
      </c>
      <c r="F6" t="s">
        <v>52</v>
      </c>
      <c r="G6" t="s">
        <v>55</v>
      </c>
      <c r="H6" t="s">
        <v>57</v>
      </c>
      <c r="I6" t="s">
        <v>62</v>
      </c>
      <c r="M6" s="1">
        <v>5000000</v>
      </c>
      <c r="N6" t="str">
        <f t="shared" si="0"/>
        <v>Ditolak</v>
      </c>
    </row>
    <row r="7" spans="1:14" x14ac:dyDescent="0.25">
      <c r="A7" s="2">
        <v>6</v>
      </c>
      <c r="B7" s="2" t="s">
        <v>15</v>
      </c>
      <c r="C7" s="3">
        <v>46209</v>
      </c>
      <c r="D7" t="s">
        <v>25</v>
      </c>
      <c r="E7" t="s">
        <v>51</v>
      </c>
      <c r="F7" t="s">
        <v>76</v>
      </c>
      <c r="G7" t="s">
        <v>56</v>
      </c>
      <c r="H7" t="s">
        <v>58</v>
      </c>
      <c r="I7" t="s">
        <v>68</v>
      </c>
      <c r="J7" s="3">
        <v>46242</v>
      </c>
      <c r="K7" t="s">
        <v>70</v>
      </c>
      <c r="L7">
        <v>80</v>
      </c>
      <c r="M7" s="1">
        <v>6000000</v>
      </c>
      <c r="N7" t="str">
        <f t="shared" si="0"/>
        <v>Diproses</v>
      </c>
    </row>
    <row r="8" spans="1:14" x14ac:dyDescent="0.25">
      <c r="A8" s="2">
        <v>7</v>
      </c>
      <c r="B8" s="2" t="s">
        <v>16</v>
      </c>
      <c r="C8" s="3">
        <v>46210</v>
      </c>
      <c r="D8" t="s">
        <v>26</v>
      </c>
      <c r="E8" t="s">
        <v>77</v>
      </c>
      <c r="F8" t="s">
        <v>52</v>
      </c>
      <c r="G8" t="s">
        <v>54</v>
      </c>
      <c r="H8" t="s">
        <v>57</v>
      </c>
      <c r="I8" t="s">
        <v>60</v>
      </c>
      <c r="M8" s="1">
        <v>4000000</v>
      </c>
      <c r="N8" t="str">
        <f t="shared" si="0"/>
        <v>Diproses</v>
      </c>
    </row>
    <row r="9" spans="1:14" x14ac:dyDescent="0.25">
      <c r="A9" s="2">
        <v>8</v>
      </c>
      <c r="B9" s="2" t="s">
        <v>17</v>
      </c>
      <c r="C9" s="3">
        <v>46211</v>
      </c>
      <c r="D9" t="s">
        <v>27</v>
      </c>
      <c r="E9" t="s">
        <v>51</v>
      </c>
      <c r="F9" t="s">
        <v>76</v>
      </c>
      <c r="G9" t="s">
        <v>79</v>
      </c>
      <c r="H9" t="s">
        <v>58</v>
      </c>
      <c r="I9" t="s">
        <v>75</v>
      </c>
      <c r="M9" s="1">
        <v>5000000</v>
      </c>
      <c r="N9" t="str">
        <f t="shared" si="0"/>
        <v>Diterima</v>
      </c>
    </row>
    <row r="10" spans="1:14" x14ac:dyDescent="0.25">
      <c r="A10" s="2">
        <v>9</v>
      </c>
      <c r="B10" s="2" t="s">
        <v>18</v>
      </c>
      <c r="C10" s="3">
        <v>46212</v>
      </c>
      <c r="D10" t="s">
        <v>28</v>
      </c>
      <c r="E10" t="s">
        <v>77</v>
      </c>
      <c r="F10" t="s">
        <v>52</v>
      </c>
      <c r="G10" t="s">
        <v>54</v>
      </c>
      <c r="H10" t="s">
        <v>57</v>
      </c>
      <c r="I10" t="s">
        <v>75</v>
      </c>
      <c r="M10" s="1">
        <v>4500000</v>
      </c>
      <c r="N10" t="str">
        <f t="shared" si="0"/>
        <v>Diterima</v>
      </c>
    </row>
    <row r="11" spans="1:14" x14ac:dyDescent="0.25">
      <c r="A11" s="2">
        <v>10</v>
      </c>
      <c r="B11" s="2" t="s">
        <v>19</v>
      </c>
      <c r="C11" s="3">
        <v>46213</v>
      </c>
      <c r="D11" t="s">
        <v>29</v>
      </c>
      <c r="E11" t="s">
        <v>78</v>
      </c>
      <c r="F11" t="s">
        <v>53</v>
      </c>
      <c r="G11" t="s">
        <v>56</v>
      </c>
      <c r="H11" t="s">
        <v>59</v>
      </c>
      <c r="I11" t="s">
        <v>62</v>
      </c>
      <c r="M11" s="1">
        <v>6000000</v>
      </c>
      <c r="N11" t="str">
        <f t="shared" si="0"/>
        <v>Ditolak</v>
      </c>
    </row>
    <row r="12" spans="1:14" x14ac:dyDescent="0.25">
      <c r="A12" s="2">
        <v>11</v>
      </c>
      <c r="B12" s="2" t="s">
        <v>31</v>
      </c>
      <c r="C12" s="3">
        <v>46214</v>
      </c>
      <c r="D12" t="s">
        <v>41</v>
      </c>
      <c r="E12" t="s">
        <v>78</v>
      </c>
      <c r="F12" t="s">
        <v>53</v>
      </c>
      <c r="G12" t="s">
        <v>54</v>
      </c>
      <c r="H12" t="s">
        <v>59</v>
      </c>
      <c r="I12" t="s">
        <v>67</v>
      </c>
      <c r="J12" s="3">
        <v>46239</v>
      </c>
      <c r="K12" t="s">
        <v>69</v>
      </c>
      <c r="L12">
        <v>75</v>
      </c>
      <c r="M12" s="1">
        <v>4800000</v>
      </c>
      <c r="N12" t="str">
        <f t="shared" si="0"/>
        <v>Diproses</v>
      </c>
    </row>
    <row r="13" spans="1:14" x14ac:dyDescent="0.25">
      <c r="A13" s="2">
        <v>12</v>
      </c>
      <c r="B13" s="2" t="s">
        <v>32</v>
      </c>
      <c r="C13" s="3">
        <v>46215</v>
      </c>
      <c r="D13" t="s">
        <v>42</v>
      </c>
      <c r="E13" t="s">
        <v>51</v>
      </c>
      <c r="F13" t="s">
        <v>76</v>
      </c>
      <c r="G13" t="s">
        <v>55</v>
      </c>
      <c r="H13" t="s">
        <v>58</v>
      </c>
      <c r="I13" t="s">
        <v>68</v>
      </c>
      <c r="J13" s="3">
        <v>46244</v>
      </c>
      <c r="K13" t="s">
        <v>71</v>
      </c>
      <c r="L13">
        <v>80</v>
      </c>
      <c r="M13" s="1">
        <v>5000000</v>
      </c>
      <c r="N13" t="str">
        <f t="shared" si="0"/>
        <v>Diproses</v>
      </c>
    </row>
    <row r="14" spans="1:14" x14ac:dyDescent="0.25">
      <c r="A14" s="2">
        <v>13</v>
      </c>
      <c r="B14" s="2" t="s">
        <v>33</v>
      </c>
      <c r="C14" s="3">
        <v>46216</v>
      </c>
      <c r="D14" t="s">
        <v>43</v>
      </c>
      <c r="E14" t="s">
        <v>51</v>
      </c>
      <c r="F14" t="s">
        <v>76</v>
      </c>
      <c r="G14" t="s">
        <v>79</v>
      </c>
      <c r="H14" t="s">
        <v>58</v>
      </c>
      <c r="I14" t="s">
        <v>67</v>
      </c>
      <c r="J14" s="3">
        <v>46239</v>
      </c>
      <c r="K14" t="s">
        <v>69</v>
      </c>
      <c r="L14">
        <v>50</v>
      </c>
      <c r="M14" s="1">
        <v>4500000</v>
      </c>
      <c r="N14" t="str">
        <f t="shared" si="0"/>
        <v>Diproses</v>
      </c>
    </row>
    <row r="15" spans="1:14" x14ac:dyDescent="0.25">
      <c r="A15" s="2">
        <v>14</v>
      </c>
      <c r="B15" s="2" t="s">
        <v>34</v>
      </c>
      <c r="C15" s="3">
        <v>46217</v>
      </c>
      <c r="D15" t="s">
        <v>44</v>
      </c>
      <c r="E15" t="s">
        <v>78</v>
      </c>
      <c r="F15" t="s">
        <v>53</v>
      </c>
      <c r="G15" t="s">
        <v>56</v>
      </c>
      <c r="H15" t="s">
        <v>59</v>
      </c>
      <c r="I15" t="s">
        <v>60</v>
      </c>
      <c r="M15" s="1">
        <v>5000000</v>
      </c>
      <c r="N15" t="str">
        <f t="shared" si="0"/>
        <v>Diproses</v>
      </c>
    </row>
    <row r="16" spans="1:14" x14ac:dyDescent="0.25">
      <c r="A16" s="2">
        <v>15</v>
      </c>
      <c r="B16" s="2" t="s">
        <v>35</v>
      </c>
      <c r="C16" s="3">
        <v>46218</v>
      </c>
      <c r="D16" t="s">
        <v>45</v>
      </c>
      <c r="E16" t="s">
        <v>51</v>
      </c>
      <c r="F16" t="s">
        <v>76</v>
      </c>
      <c r="G16" t="s">
        <v>54</v>
      </c>
      <c r="H16" t="s">
        <v>57</v>
      </c>
      <c r="I16" t="s">
        <v>75</v>
      </c>
      <c r="M16" s="1">
        <v>5000000</v>
      </c>
      <c r="N16" t="str">
        <f t="shared" si="0"/>
        <v>Diterima</v>
      </c>
    </row>
    <row r="17" spans="1:14" x14ac:dyDescent="0.25">
      <c r="A17" s="2">
        <v>16</v>
      </c>
      <c r="B17" s="2" t="s">
        <v>36</v>
      </c>
      <c r="C17" s="3">
        <v>46219</v>
      </c>
      <c r="D17" t="s">
        <v>46</v>
      </c>
      <c r="E17" t="s">
        <v>77</v>
      </c>
      <c r="F17" t="s">
        <v>52</v>
      </c>
      <c r="G17" t="s">
        <v>55</v>
      </c>
      <c r="H17" t="s">
        <v>58</v>
      </c>
      <c r="I17" t="s">
        <v>68</v>
      </c>
      <c r="J17" s="3">
        <v>46239</v>
      </c>
      <c r="K17" t="s">
        <v>72</v>
      </c>
      <c r="L17">
        <v>90</v>
      </c>
      <c r="M17" s="1">
        <v>4500000</v>
      </c>
      <c r="N17" t="str">
        <f t="shared" si="0"/>
        <v>Diproses</v>
      </c>
    </row>
    <row r="18" spans="1:14" x14ac:dyDescent="0.25">
      <c r="A18" s="2">
        <v>17</v>
      </c>
      <c r="B18" s="2" t="s">
        <v>37</v>
      </c>
      <c r="C18" s="3">
        <v>46220</v>
      </c>
      <c r="D18" t="s">
        <v>47</v>
      </c>
      <c r="E18" t="s">
        <v>78</v>
      </c>
      <c r="F18" t="s">
        <v>53</v>
      </c>
      <c r="G18" t="s">
        <v>56</v>
      </c>
      <c r="H18" t="s">
        <v>59</v>
      </c>
      <c r="I18" t="s">
        <v>68</v>
      </c>
      <c r="J18" s="3">
        <v>46239</v>
      </c>
      <c r="K18" t="s">
        <v>73</v>
      </c>
      <c r="L18">
        <v>80</v>
      </c>
      <c r="M18" s="1">
        <v>6000000</v>
      </c>
      <c r="N18" t="str">
        <f t="shared" si="0"/>
        <v>Diproses</v>
      </c>
    </row>
    <row r="19" spans="1:14" x14ac:dyDescent="0.25">
      <c r="A19" s="2">
        <v>18</v>
      </c>
      <c r="B19" s="2" t="s">
        <v>38</v>
      </c>
      <c r="C19" s="3">
        <v>46221</v>
      </c>
      <c r="D19" t="s">
        <v>48</v>
      </c>
      <c r="E19" t="s">
        <v>77</v>
      </c>
      <c r="F19" t="s">
        <v>52</v>
      </c>
      <c r="G19" t="s">
        <v>54</v>
      </c>
      <c r="H19" t="s">
        <v>59</v>
      </c>
      <c r="I19" t="s">
        <v>60</v>
      </c>
      <c r="M19" s="1">
        <v>4500000</v>
      </c>
      <c r="N19" t="str">
        <f t="shared" si="0"/>
        <v>Diproses</v>
      </c>
    </row>
    <row r="20" spans="1:14" x14ac:dyDescent="0.25">
      <c r="A20" s="2">
        <v>19</v>
      </c>
      <c r="B20" s="2" t="s">
        <v>39</v>
      </c>
      <c r="C20" s="3">
        <v>46222</v>
      </c>
      <c r="D20" t="s">
        <v>49</v>
      </c>
      <c r="E20" t="s">
        <v>77</v>
      </c>
      <c r="F20" t="s">
        <v>52</v>
      </c>
      <c r="G20" t="s">
        <v>55</v>
      </c>
      <c r="H20" t="s">
        <v>57</v>
      </c>
      <c r="I20" t="s">
        <v>67</v>
      </c>
      <c r="J20" s="3">
        <v>46244</v>
      </c>
      <c r="K20" t="s">
        <v>69</v>
      </c>
      <c r="L20">
        <v>85</v>
      </c>
      <c r="M20" s="1">
        <v>5000000</v>
      </c>
      <c r="N20" t="str">
        <f t="shared" si="0"/>
        <v>Diproses</v>
      </c>
    </row>
    <row r="21" spans="1:14" x14ac:dyDescent="0.25">
      <c r="A21" s="2">
        <v>20</v>
      </c>
      <c r="B21" s="2" t="s">
        <v>40</v>
      </c>
      <c r="C21" s="3">
        <v>46223</v>
      </c>
      <c r="D21" t="s">
        <v>50</v>
      </c>
      <c r="E21" t="s">
        <v>51</v>
      </c>
      <c r="F21" t="s">
        <v>76</v>
      </c>
      <c r="G21" t="s">
        <v>56</v>
      </c>
      <c r="H21" t="s">
        <v>58</v>
      </c>
      <c r="I21" t="s">
        <v>67</v>
      </c>
      <c r="J21" s="3">
        <v>46244</v>
      </c>
      <c r="K21" t="s">
        <v>69</v>
      </c>
      <c r="L21">
        <v>90</v>
      </c>
      <c r="M21" s="1">
        <v>4000000</v>
      </c>
      <c r="N21" t="str">
        <f t="shared" si="0"/>
        <v>Diproses</v>
      </c>
    </row>
  </sheetData>
  <phoneticPr fontId="1" type="noConversion"/>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1FD36036-D27D-4482-8EB9-645C45C44FA3}">
          <x14:formula1>
            <xm:f>Referensi!$A$2:$A$4</xm:f>
          </x14:formula1>
          <xm:sqref>E2:E21</xm:sqref>
        </x14:dataValidation>
        <x14:dataValidation type="list" allowBlank="1" showInputMessage="1" showErrorMessage="1" xr:uid="{6B224611-9986-4EA2-A199-5E9B405515BE}">
          <x14:formula1>
            <xm:f>Referensi!$B$2:$B$4</xm:f>
          </x14:formula1>
          <xm:sqref>F2:F21</xm:sqref>
        </x14:dataValidation>
        <x14:dataValidation type="list" allowBlank="1" showInputMessage="1" showErrorMessage="1" xr:uid="{4E988EBC-BE4A-4DDF-B978-198558143B4A}">
          <x14:formula1>
            <xm:f>Referensi!$C$2:$C$5</xm:f>
          </x14:formula1>
          <xm:sqref>G2:G21</xm:sqref>
        </x14:dataValidation>
        <x14:dataValidation type="list" allowBlank="1" showInputMessage="1" showErrorMessage="1" xr:uid="{E3A6CA2F-D958-49EC-86D7-FD5DBD265E7B}">
          <x14:formula1>
            <xm:f>Referensi!$D$2:$D$4</xm:f>
          </x14:formula1>
          <xm:sqref>H2:H21</xm:sqref>
        </x14:dataValidation>
        <x14:dataValidation type="list" allowBlank="1" showInputMessage="1" showErrorMessage="1" xr:uid="{B1C0C021-A500-45D1-93B2-C83374AE6ED7}">
          <x14:formula1>
            <xm:f>Referensi!$E$2:$E$7</xm:f>
          </x14:formula1>
          <xm:sqref>I2:I21</xm:sqref>
        </x14:dataValidation>
        <x14:dataValidation type="list" allowBlank="1" showInputMessage="1" showErrorMessage="1" xr:uid="{236615C0-4C12-4055-B815-749524F088EA}">
          <x14:formula1>
            <xm:f>Referensi!$F$2:$F$4</xm:f>
          </x14:formula1>
          <xm:sqref>N2:N21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D0E4C-D527-4660-8ED5-24AAC3C451D4}">
  <sheetPr codeName="Sheet2"/>
  <dimension ref="A1:F7"/>
  <sheetViews>
    <sheetView workbookViewId="0">
      <selection activeCell="E15" sqref="E15"/>
    </sheetView>
  </sheetViews>
  <sheetFormatPr defaultRowHeight="15" x14ac:dyDescent="0.25"/>
  <cols>
    <col min="1" max="1" width="14.7109375" bestFit="1" customWidth="1"/>
    <col min="2" max="2" width="12.140625" bestFit="1" customWidth="1"/>
    <col min="3" max="3" width="9.7109375" bestFit="1" customWidth="1"/>
    <col min="4" max="4" width="8.85546875" bestFit="1" customWidth="1"/>
    <col min="5" max="5" width="14.140625" bestFit="1" customWidth="1"/>
    <col min="6" max="6" width="10.42578125" bestFit="1" customWidth="1"/>
  </cols>
  <sheetData>
    <row r="1" spans="1:6" x14ac:dyDescent="0.25">
      <c r="A1" s="4" t="s">
        <v>3</v>
      </c>
      <c r="B1" s="4" t="s">
        <v>4</v>
      </c>
      <c r="C1" s="4" t="s">
        <v>5</v>
      </c>
      <c r="D1" s="4" t="s">
        <v>8</v>
      </c>
      <c r="E1" s="4" t="s">
        <v>9</v>
      </c>
      <c r="F1" s="4" t="s">
        <v>74</v>
      </c>
    </row>
    <row r="2" spans="1:6" x14ac:dyDescent="0.25">
      <c r="A2" t="s">
        <v>77</v>
      </c>
      <c r="B2" t="s">
        <v>52</v>
      </c>
      <c r="C2" t="s">
        <v>54</v>
      </c>
      <c r="D2" t="s">
        <v>57</v>
      </c>
      <c r="E2" t="s">
        <v>75</v>
      </c>
      <c r="F2" t="s">
        <v>75</v>
      </c>
    </row>
    <row r="3" spans="1:6" x14ac:dyDescent="0.25">
      <c r="A3" t="s">
        <v>78</v>
      </c>
      <c r="B3" t="s">
        <v>53</v>
      </c>
      <c r="C3" t="s">
        <v>55</v>
      </c>
      <c r="D3" t="s">
        <v>58</v>
      </c>
      <c r="E3" t="s">
        <v>62</v>
      </c>
      <c r="F3" t="s">
        <v>62</v>
      </c>
    </row>
    <row r="4" spans="1:6" x14ac:dyDescent="0.25">
      <c r="A4" t="s">
        <v>51</v>
      </c>
      <c r="B4" t="s">
        <v>76</v>
      </c>
      <c r="C4" t="s">
        <v>56</v>
      </c>
      <c r="D4" t="s">
        <v>59</v>
      </c>
      <c r="E4" t="s">
        <v>67</v>
      </c>
      <c r="F4" t="s">
        <v>80</v>
      </c>
    </row>
    <row r="5" spans="1:6" x14ac:dyDescent="0.25">
      <c r="C5" t="s">
        <v>79</v>
      </c>
      <c r="E5" t="s">
        <v>68</v>
      </c>
    </row>
    <row r="6" spans="1:6" x14ac:dyDescent="0.25">
      <c r="E6" t="s">
        <v>60</v>
      </c>
    </row>
    <row r="7" spans="1:6" x14ac:dyDescent="0.25">
      <c r="E7"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4CD8C-4D80-41AE-A107-3525FD89630C}">
  <sheetPr codeName="Sheet3"/>
  <dimension ref="A1:K21"/>
  <sheetViews>
    <sheetView showGridLines="0" zoomScale="80" zoomScaleNormal="80" workbookViewId="0">
      <selection activeCell="A10" sqref="A10"/>
    </sheetView>
  </sheetViews>
  <sheetFormatPr defaultRowHeight="15" x14ac:dyDescent="0.25"/>
  <cols>
    <col min="1" max="1" width="10" bestFit="1" customWidth="1"/>
    <col min="2" max="2" width="9.140625" bestFit="1" customWidth="1"/>
    <col min="3" max="3" width="11.85546875" customWidth="1"/>
    <col min="4" max="4" width="11" bestFit="1" customWidth="1"/>
    <col min="5" max="6" width="23.42578125" bestFit="1" customWidth="1"/>
    <col min="7" max="7" width="11" bestFit="1" customWidth="1"/>
    <col min="8" max="8" width="23.42578125" bestFit="1" customWidth="1"/>
    <col min="10" max="10" width="15.5703125" bestFit="1" customWidth="1"/>
    <col min="11" max="11" width="23.42578125" bestFit="1" customWidth="1"/>
  </cols>
  <sheetData>
    <row r="1" spans="1:11" x14ac:dyDescent="0.25">
      <c r="A1" s="8"/>
      <c r="B1" s="8"/>
      <c r="C1" s="8"/>
      <c r="D1" s="8"/>
      <c r="E1" s="8"/>
      <c r="F1" s="8"/>
      <c r="G1" s="8"/>
      <c r="H1" s="8"/>
      <c r="I1" s="8"/>
      <c r="J1" s="8"/>
      <c r="K1" s="8"/>
    </row>
    <row r="10" spans="1:11" x14ac:dyDescent="0.25">
      <c r="A10" s="5" t="s">
        <v>81</v>
      </c>
      <c r="B10" t="s">
        <v>82</v>
      </c>
      <c r="D10" s="5" t="s">
        <v>85</v>
      </c>
      <c r="E10" t="s">
        <v>84</v>
      </c>
      <c r="G10" s="5" t="s">
        <v>85</v>
      </c>
      <c r="H10" t="s">
        <v>84</v>
      </c>
      <c r="J10" s="5" t="s">
        <v>85</v>
      </c>
      <c r="K10" t="s">
        <v>84</v>
      </c>
    </row>
    <row r="11" spans="1:11" x14ac:dyDescent="0.25">
      <c r="A11" s="6" t="s">
        <v>80</v>
      </c>
      <c r="B11" s="7">
        <v>15</v>
      </c>
      <c r="D11" s="6" t="s">
        <v>56</v>
      </c>
      <c r="E11" s="7">
        <v>6</v>
      </c>
      <c r="G11" s="6" t="s">
        <v>76</v>
      </c>
      <c r="H11" s="7">
        <v>8</v>
      </c>
      <c r="J11" s="6" t="s">
        <v>60</v>
      </c>
      <c r="K11" s="7">
        <v>4</v>
      </c>
    </row>
    <row r="12" spans="1:11" x14ac:dyDescent="0.25">
      <c r="A12" s="6" t="s">
        <v>75</v>
      </c>
      <c r="B12" s="7">
        <v>3</v>
      </c>
      <c r="D12" s="6" t="s">
        <v>55</v>
      </c>
      <c r="E12" s="7">
        <v>6</v>
      </c>
      <c r="G12" s="6" t="s">
        <v>52</v>
      </c>
      <c r="H12" s="7">
        <v>7</v>
      </c>
      <c r="J12" s="6" t="s">
        <v>75</v>
      </c>
      <c r="K12" s="7">
        <v>3</v>
      </c>
    </row>
    <row r="13" spans="1:11" x14ac:dyDescent="0.25">
      <c r="A13" s="6" t="s">
        <v>62</v>
      </c>
      <c r="B13" s="7">
        <v>2</v>
      </c>
      <c r="D13" s="6" t="s">
        <v>79</v>
      </c>
      <c r="E13" s="7">
        <v>2</v>
      </c>
      <c r="G13" s="6" t="s">
        <v>53</v>
      </c>
      <c r="H13" s="7">
        <v>5</v>
      </c>
      <c r="J13" s="6" t="s">
        <v>62</v>
      </c>
      <c r="K13" s="7">
        <v>2</v>
      </c>
    </row>
    <row r="14" spans="1:11" x14ac:dyDescent="0.25">
      <c r="A14" s="6" t="s">
        <v>83</v>
      </c>
      <c r="B14" s="7">
        <v>20</v>
      </c>
      <c r="D14" s="6" t="s">
        <v>54</v>
      </c>
      <c r="E14" s="7">
        <v>6</v>
      </c>
      <c r="G14" s="6" t="s">
        <v>83</v>
      </c>
      <c r="H14" s="7">
        <v>20</v>
      </c>
      <c r="J14" s="6" t="s">
        <v>67</v>
      </c>
      <c r="K14" s="7">
        <v>5</v>
      </c>
    </row>
    <row r="15" spans="1:11" x14ac:dyDescent="0.25">
      <c r="D15" s="6" t="s">
        <v>83</v>
      </c>
      <c r="E15" s="7">
        <v>20</v>
      </c>
      <c r="J15" s="6" t="s">
        <v>68</v>
      </c>
      <c r="K15" s="7">
        <v>5</v>
      </c>
    </row>
    <row r="16" spans="1:11" x14ac:dyDescent="0.25">
      <c r="J16" s="6" t="s">
        <v>61</v>
      </c>
      <c r="K16" s="7">
        <v>1</v>
      </c>
    </row>
    <row r="17" spans="1:11" x14ac:dyDescent="0.25">
      <c r="A17" s="5" t="s">
        <v>85</v>
      </c>
      <c r="B17" t="s">
        <v>84</v>
      </c>
      <c r="J17" s="6" t="s">
        <v>83</v>
      </c>
      <c r="K17" s="7">
        <v>20</v>
      </c>
    </row>
    <row r="18" spans="1:11" x14ac:dyDescent="0.25">
      <c r="A18" s="6" t="s">
        <v>59</v>
      </c>
      <c r="B18" s="7">
        <v>5</v>
      </c>
    </row>
    <row r="19" spans="1:11" x14ac:dyDescent="0.25">
      <c r="A19" s="6" t="s">
        <v>57</v>
      </c>
      <c r="B19" s="7">
        <v>7</v>
      </c>
    </row>
    <row r="20" spans="1:11" x14ac:dyDescent="0.25">
      <c r="A20" s="6" t="s">
        <v>58</v>
      </c>
      <c r="B20" s="7">
        <v>8</v>
      </c>
    </row>
    <row r="21" spans="1:11" x14ac:dyDescent="0.25">
      <c r="A21" s="6" t="s">
        <v>83</v>
      </c>
      <c r="B21" s="7">
        <v>20</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653C9-0329-4529-A1D5-5971BB99C132}">
  <sheetPr codeName="Sheet4"/>
  <dimension ref="P3:P6"/>
  <sheetViews>
    <sheetView showGridLines="0" tabSelected="1" zoomScale="78" zoomScaleNormal="78" workbookViewId="0">
      <selection activeCell="V16" sqref="V16"/>
    </sheetView>
  </sheetViews>
  <sheetFormatPr defaultRowHeight="15" x14ac:dyDescent="0.25"/>
  <cols>
    <col min="16" max="16" width="2.140625" style="9" hidden="1" customWidth="1"/>
  </cols>
  <sheetData>
    <row r="3" spans="16:16" x14ac:dyDescent="0.25">
      <c r="P3" s="9">
        <f>IFERROR(GETPIVOTDATA("Kandidat",pivot!$A$10),0)</f>
        <v>20</v>
      </c>
    </row>
    <row r="4" spans="16:16" x14ac:dyDescent="0.25">
      <c r="P4" s="9">
        <f>IFERROR(GETPIVOTDATA("Kandidat",pivot!$A$10,"Hasil Akhir","Diterima"),0)</f>
        <v>3</v>
      </c>
    </row>
    <row r="5" spans="16:16" x14ac:dyDescent="0.25">
      <c r="P5" s="9">
        <f>IFERROR(GETPIVOTDATA("Kandidat",pivot!$A$10,"Hasil Akhir","Diproses"),0)</f>
        <v>15</v>
      </c>
    </row>
    <row r="6" spans="16:16" x14ac:dyDescent="0.25">
      <c r="P6" s="9">
        <f>IFERROR(GETPIVOTDATA("Kandidat",pivot!$A$10,"Hasil Akhir","Ditolak"),0)</f>
        <v>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1367-B0C4-4852-8E15-EAE3EF8B079D}">
  <sheetPr codeName="Sheet5"/>
  <dimension ref="A1:P28"/>
  <sheetViews>
    <sheetView showGridLines="0" zoomScale="80" zoomScaleNormal="80" workbookViewId="0">
      <selection activeCell="J23" sqref="J23"/>
    </sheetView>
  </sheetViews>
  <sheetFormatPr defaultRowHeight="15" x14ac:dyDescent="0.25"/>
  <cols>
    <col min="1" max="1" width="12.42578125" bestFit="1" customWidth="1"/>
  </cols>
  <sheetData>
    <row r="1" spans="1:16" ht="21" x14ac:dyDescent="0.35">
      <c r="A1" s="17" t="s">
        <v>86</v>
      </c>
      <c r="B1" s="17"/>
      <c r="C1" s="17"/>
      <c r="D1" s="17"/>
      <c r="E1" s="17"/>
    </row>
    <row r="3" spans="1:16" ht="18.75" x14ac:dyDescent="0.3">
      <c r="A3" s="12" t="s">
        <v>87</v>
      </c>
      <c r="K3" s="14" t="s">
        <v>92</v>
      </c>
      <c r="L3" s="14"/>
      <c r="M3" s="14"/>
      <c r="N3" s="14"/>
      <c r="O3" s="14"/>
      <c r="P3" s="14"/>
    </row>
    <row r="4" spans="1:16" ht="15" customHeight="1" x14ac:dyDescent="0.25">
      <c r="A4" s="14" t="s">
        <v>93</v>
      </c>
      <c r="B4" s="14"/>
      <c r="C4" s="14"/>
      <c r="D4" s="14"/>
      <c r="E4" s="14"/>
      <c r="F4" s="14"/>
      <c r="G4" s="14"/>
      <c r="H4" s="14"/>
      <c r="K4" s="14"/>
      <c r="L4" s="14"/>
      <c r="M4" s="14"/>
      <c r="N4" s="14"/>
      <c r="O4" s="14"/>
      <c r="P4" s="14"/>
    </row>
    <row r="5" spans="1:16" x14ac:dyDescent="0.25">
      <c r="A5" s="14"/>
      <c r="B5" s="14"/>
      <c r="C5" s="14"/>
      <c r="D5" s="14"/>
      <c r="E5" s="14"/>
      <c r="F5" s="14"/>
      <c r="G5" s="14"/>
      <c r="H5" s="14"/>
      <c r="K5" s="14"/>
      <c r="L5" s="14"/>
      <c r="M5" s="14"/>
      <c r="N5" s="14"/>
      <c r="O5" s="14"/>
      <c r="P5" s="14"/>
    </row>
    <row r="6" spans="1:16" x14ac:dyDescent="0.25">
      <c r="A6" s="14"/>
      <c r="B6" s="14"/>
      <c r="C6" s="14"/>
      <c r="D6" s="14"/>
      <c r="E6" s="14"/>
      <c r="F6" s="14"/>
      <c r="G6" s="14"/>
      <c r="H6" s="14"/>
      <c r="K6" s="14"/>
      <c r="L6" s="14"/>
      <c r="M6" s="14"/>
      <c r="N6" s="14"/>
      <c r="O6" s="14"/>
      <c r="P6" s="14"/>
    </row>
    <row r="7" spans="1:16" x14ac:dyDescent="0.25">
      <c r="A7" s="14"/>
      <c r="B7" s="14"/>
      <c r="C7" s="14"/>
      <c r="D7" s="14"/>
      <c r="E7" s="14"/>
      <c r="F7" s="14"/>
      <c r="G7" s="14"/>
      <c r="H7" s="14"/>
      <c r="K7" s="14"/>
      <c r="L7" s="14"/>
      <c r="M7" s="14"/>
      <c r="N7" s="14"/>
      <c r="O7" s="14"/>
      <c r="P7" s="14"/>
    </row>
    <row r="8" spans="1:16" x14ac:dyDescent="0.25">
      <c r="K8" s="14"/>
      <c r="L8" s="14"/>
      <c r="M8" s="14"/>
      <c r="N8" s="14"/>
      <c r="O8" s="14"/>
      <c r="P8" s="14"/>
    </row>
    <row r="9" spans="1:16" ht="18.75" x14ac:dyDescent="0.3">
      <c r="A9" s="12" t="s">
        <v>88</v>
      </c>
      <c r="J9" s="10"/>
      <c r="K9" s="14"/>
      <c r="L9" s="14"/>
      <c r="M9" s="14"/>
      <c r="N9" s="14"/>
      <c r="O9" s="14"/>
      <c r="P9" s="14"/>
    </row>
    <row r="10" spans="1:16" ht="15" customHeight="1" x14ac:dyDescent="0.25">
      <c r="A10" s="16" t="s">
        <v>94</v>
      </c>
      <c r="B10" s="16"/>
      <c r="C10" s="16"/>
      <c r="D10" s="16"/>
      <c r="E10" s="16"/>
      <c r="F10" s="16"/>
      <c r="G10" s="16"/>
      <c r="H10" s="16"/>
    </row>
    <row r="11" spans="1:16" x14ac:dyDescent="0.25">
      <c r="A11" s="16"/>
      <c r="B11" s="16"/>
      <c r="C11" s="16"/>
      <c r="D11" s="16"/>
      <c r="E11" s="16"/>
      <c r="F11" s="16"/>
      <c r="G11" s="16"/>
      <c r="H11" s="16"/>
    </row>
    <row r="12" spans="1:16" x14ac:dyDescent="0.25">
      <c r="A12" s="16"/>
      <c r="B12" s="16"/>
      <c r="C12" s="16"/>
      <c r="D12" s="16"/>
      <c r="E12" s="16"/>
      <c r="F12" s="16"/>
      <c r="G12" s="16"/>
      <c r="H12" s="16"/>
    </row>
    <row r="13" spans="1:16" x14ac:dyDescent="0.25">
      <c r="A13" s="16"/>
      <c r="B13" s="16"/>
      <c r="C13" s="16"/>
      <c r="D13" s="16"/>
      <c r="E13" s="16"/>
      <c r="F13" s="16"/>
      <c r="G13" s="16"/>
      <c r="H13" s="16"/>
    </row>
    <row r="15" spans="1:16" ht="18.75" x14ac:dyDescent="0.3">
      <c r="A15" s="12" t="s">
        <v>89</v>
      </c>
      <c r="G15" s="11"/>
      <c r="H15" s="13"/>
      <c r="I15" s="13"/>
      <c r="J15" s="13"/>
      <c r="K15" s="13"/>
      <c r="L15" s="13"/>
    </row>
    <row r="16" spans="1:16" x14ac:dyDescent="0.25">
      <c r="A16" s="14" t="s">
        <v>95</v>
      </c>
      <c r="B16" s="15"/>
      <c r="C16" s="15"/>
      <c r="D16" s="15"/>
      <c r="G16" s="13"/>
      <c r="H16" s="13"/>
      <c r="I16" s="13"/>
      <c r="J16" s="13"/>
      <c r="K16" s="13"/>
      <c r="L16" s="13"/>
      <c r="M16" s="13"/>
      <c r="N16" s="13"/>
      <c r="O16" s="13"/>
    </row>
    <row r="17" spans="1:15" x14ac:dyDescent="0.25">
      <c r="A17" s="15"/>
      <c r="B17" s="15"/>
      <c r="C17" s="15"/>
      <c r="D17" s="15"/>
      <c r="G17" s="13"/>
      <c r="H17" s="13"/>
      <c r="I17" s="13"/>
      <c r="J17" s="13"/>
      <c r="K17" s="13"/>
      <c r="L17" s="13"/>
      <c r="M17" s="13"/>
      <c r="N17" s="13"/>
      <c r="O17" s="13"/>
    </row>
    <row r="18" spans="1:15" x14ac:dyDescent="0.25">
      <c r="A18" s="15"/>
      <c r="B18" s="15"/>
      <c r="C18" s="15"/>
      <c r="D18" s="15"/>
      <c r="G18" s="13"/>
      <c r="H18" s="13"/>
      <c r="I18" s="13"/>
      <c r="J18" s="13"/>
      <c r="K18" s="13"/>
      <c r="L18" s="13"/>
      <c r="M18" s="13"/>
      <c r="N18" s="13"/>
      <c r="O18" s="13"/>
    </row>
    <row r="19" spans="1:15" x14ac:dyDescent="0.25">
      <c r="A19" s="15"/>
      <c r="B19" s="15"/>
      <c r="C19" s="15"/>
      <c r="D19" s="15"/>
      <c r="G19" s="13"/>
      <c r="H19" s="13"/>
      <c r="I19" s="13"/>
      <c r="J19" s="13"/>
      <c r="K19" s="13"/>
      <c r="L19" s="13"/>
      <c r="M19" s="13"/>
      <c r="N19" s="13"/>
      <c r="O19" s="13"/>
    </row>
    <row r="20" spans="1:15" x14ac:dyDescent="0.25">
      <c r="G20" s="13"/>
      <c r="H20" s="13"/>
      <c r="I20" s="13"/>
      <c r="J20" s="13"/>
      <c r="K20" s="13"/>
      <c r="L20" s="13"/>
      <c r="M20" s="13"/>
      <c r="N20" s="13"/>
      <c r="O20" s="13"/>
    </row>
    <row r="21" spans="1:15" ht="18.75" x14ac:dyDescent="0.3">
      <c r="A21" s="12" t="s">
        <v>90</v>
      </c>
      <c r="M21" s="13"/>
      <c r="N21" s="13"/>
      <c r="O21" s="13"/>
    </row>
    <row r="22" spans="1:15" ht="15" customHeight="1" x14ac:dyDescent="0.25">
      <c r="A22" s="14" t="s">
        <v>91</v>
      </c>
      <c r="B22" s="14"/>
      <c r="C22" s="14"/>
      <c r="G22" s="13"/>
      <c r="H22" s="13"/>
      <c r="I22" s="13"/>
      <c r="J22" s="13"/>
      <c r="K22" s="13"/>
      <c r="L22" s="13"/>
      <c r="M22" s="13"/>
      <c r="N22" s="13"/>
      <c r="O22" s="13"/>
    </row>
    <row r="23" spans="1:15" x14ac:dyDescent="0.25">
      <c r="A23" s="14"/>
      <c r="B23" s="14"/>
      <c r="C23" s="14"/>
      <c r="G23" s="13"/>
      <c r="H23" s="13"/>
      <c r="I23" s="13"/>
      <c r="J23" s="13"/>
      <c r="K23" s="13"/>
      <c r="L23" s="13"/>
      <c r="M23" s="13"/>
      <c r="N23" s="13"/>
      <c r="O23" s="13"/>
    </row>
    <row r="24" spans="1:15" x14ac:dyDescent="0.25">
      <c r="A24" s="14"/>
      <c r="B24" s="14"/>
      <c r="C24" s="14"/>
      <c r="G24" s="13"/>
      <c r="H24" s="13"/>
      <c r="I24" s="13"/>
      <c r="J24" s="13"/>
      <c r="K24" s="13"/>
      <c r="L24" s="13"/>
      <c r="M24" s="13"/>
      <c r="N24" s="13"/>
      <c r="O24" s="13"/>
    </row>
    <row r="25" spans="1:15" x14ac:dyDescent="0.25">
      <c r="A25" s="14"/>
      <c r="B25" s="14"/>
      <c r="C25" s="14"/>
    </row>
    <row r="26" spans="1:15" x14ac:dyDescent="0.25">
      <c r="A26" s="14"/>
      <c r="B26" s="14"/>
      <c r="C26" s="14"/>
    </row>
    <row r="27" spans="1:15" x14ac:dyDescent="0.25">
      <c r="A27" s="14"/>
      <c r="B27" s="14"/>
      <c r="C27" s="14"/>
    </row>
    <row r="28" spans="1:15" x14ac:dyDescent="0.25">
      <c r="A28" s="14"/>
      <c r="B28" s="14"/>
      <c r="C28" s="14"/>
    </row>
  </sheetData>
  <mergeCells count="6">
    <mergeCell ref="A1:E1"/>
    <mergeCell ref="K3:P9"/>
    <mergeCell ref="A16:D19"/>
    <mergeCell ref="A4:H7"/>
    <mergeCell ref="A10:H13"/>
    <mergeCell ref="A22:C2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Recuitment</vt:lpstr>
      <vt:lpstr>Referensi</vt:lpstr>
      <vt:lpstr>pivot</vt:lpstr>
      <vt:lpstr>Dasbooard</vt:lpstr>
      <vt:lpstr>Tentang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Nafi</dc:creator>
  <cp:lastModifiedBy>Nafi</cp:lastModifiedBy>
  <dcterms:created xsi:type="dcterms:W3CDTF">2026-07-28T07:01:04Z</dcterms:created>
  <dcterms:modified xsi:type="dcterms:W3CDTF">2026-07-31T02:43:39Z</dcterms:modified>
</cp:coreProperties>
</file>